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il\Desktop\Data Analyst\Excel\"/>
    </mc:Choice>
  </mc:AlternateContent>
  <xr:revisionPtr revIDLastSave="0" documentId="13_ncr:1_{47B5C4AA-EC77-4A0D-9D41-E8C7D583E98C}" xr6:coauthVersionLast="47" xr6:coauthVersionMax="47" xr10:uidLastSave="{00000000-0000-0000-0000-000000000000}"/>
  <bookViews>
    <workbookView xWindow="28680" yWindow="-120" windowWidth="25440" windowHeight="15270" xr2:uid="{00000000-000D-0000-FFFF-FFFF00000000}"/>
  </bookViews>
  <sheets>
    <sheet name="dashboard" sheetId="13" r:id="rId1"/>
    <sheet name="Pivot_Table_Analyze" sheetId="15" r:id="rId2"/>
    <sheet name="Orders" sheetId="1" r:id="rId3"/>
    <sheet name="Products" sheetId="2" r:id="rId4"/>
    <sheet name="Customers" sheetId="3" r:id="rId5"/>
    <sheet name="check" sheetId="5" r:id="rId6"/>
    <sheet name="check2" sheetId="6" r:id="rId7"/>
    <sheet name="Product_Total Cost" sheetId="8" r:id="rId8"/>
  </sheets>
  <definedNames>
    <definedName name="_xlnm._FilterDatabase" localSheetId="2" hidden="1">Orders!$A$1:$J$1001</definedName>
    <definedName name="Slicer_Order_Date">#N/A</definedName>
    <definedName name="Slicer_Product_ID">#N/A</definedName>
    <definedName name="Slicer_Region">#N/A</definedName>
    <definedName name="solver_cvg" localSheetId="2" hidden="1">0.0001</definedName>
    <definedName name="solver_drv" localSheetId="2" hidden="1">1</definedName>
    <definedName name="solver_eng" localSheetId="4" hidden="1">1</definedName>
    <definedName name="solver_eng" localSheetId="2" hidden="1">1</definedName>
    <definedName name="solver_itr" localSheetId="2" hidden="1">2147483647</definedName>
    <definedName name="solver_lin" localSheetId="4" hidden="1">2</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4" hidden="1">1</definedName>
    <definedName name="solver_neg" localSheetId="2" hidden="1">1</definedName>
    <definedName name="solver_nod" localSheetId="2" hidden="1">2147483647</definedName>
    <definedName name="solver_num" localSheetId="4" hidden="1">0</definedName>
    <definedName name="solver_num" localSheetId="2" hidden="1">0</definedName>
    <definedName name="solver_opt" localSheetId="2" hidden="1">Orders!$O$1001</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4" hidden="1">1</definedName>
    <definedName name="solver_typ" localSheetId="2" hidden="1">1</definedName>
    <definedName name="solver_val" localSheetId="4" hidden="1">0</definedName>
    <definedName name="solver_val" localSheetId="2" hidden="1">0</definedName>
    <definedName name="solver_ver" localSheetId="4" hidden="1">2</definedName>
    <definedName name="solver_ver" localSheetId="2" hidden="1">2</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N2" i="1" s="1"/>
  <c r="L3" i="1"/>
  <c r="L4" i="1"/>
  <c r="L5" i="1"/>
  <c r="L6" i="1"/>
  <c r="L7" i="1"/>
  <c r="C2" i="13" s="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B2" i="13"/>
  <c r="D25" i="5"/>
  <c r="D24" i="5"/>
  <c r="E24" i="5"/>
  <c r="G9" i="3"/>
  <c r="F2" i="2"/>
  <c r="A33" i="5"/>
  <c r="C32" i="5"/>
  <c r="C31" i="5"/>
  <c r="B32" i="5"/>
  <c r="B31" i="5"/>
  <c r="G5" i="2"/>
  <c r="G4" i="2"/>
  <c r="G3" i="2"/>
  <c r="G2" i="2"/>
  <c r="G3" i="3"/>
  <c r="G4" i="3"/>
  <c r="G5" i="3"/>
  <c r="G6" i="3"/>
  <c r="G2" i="3"/>
  <c r="F9" i="5"/>
  <c r="F10" i="5"/>
  <c r="F11" i="5"/>
  <c r="F12" i="5"/>
  <c r="F13" i="5"/>
  <c r="F14" i="5"/>
  <c r="F15" i="5"/>
  <c r="F16" i="5"/>
  <c r="F17" i="5"/>
  <c r="F18" i="5"/>
  <c r="F19" i="5"/>
  <c r="F20" i="5"/>
  <c r="F21" i="5"/>
  <c r="F8" i="5"/>
  <c r="E3" i="5"/>
  <c r="E4" i="5"/>
  <c r="E5" i="5"/>
  <c r="E2" i="5"/>
  <c r="D2" i="13" l="1"/>
  <c r="A2" i="13"/>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772F7C-D03C-114C-895B-63F6541D7558}"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E87C45CC-F296-0C46-BEB9-ED1ADA2DCC65}"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<sst xmlns="http://schemas.openxmlformats.org/spreadsheetml/2006/main" count="6695" uniqueCount="881">
  <si>
    <t>Order_ID</t>
  </si>
  <si>
    <t>Order_Date</t>
  </si>
  <si>
    <t>Ship_Date</t>
  </si>
  <si>
    <t>Customer_ID</t>
  </si>
  <si>
    <t>Product_ID</t>
  </si>
  <si>
    <t>Quantity</t>
  </si>
  <si>
    <t>Unit_Price</t>
  </si>
  <si>
    <t>Discount (%)</t>
  </si>
  <si>
    <t>Region</t>
  </si>
  <si>
    <t>Payment_Mode</t>
  </si>
  <si>
    <t>C1046</t>
  </si>
  <si>
    <t>P587</t>
  </si>
  <si>
    <t>West</t>
  </si>
  <si>
    <t>NetBanking</t>
  </si>
  <si>
    <t>C1187</t>
  </si>
  <si>
    <t>P507</t>
  </si>
  <si>
    <t>Card</t>
  </si>
  <si>
    <t>C1133</t>
  </si>
  <si>
    <t>P586</t>
  </si>
  <si>
    <t>East</t>
  </si>
  <si>
    <t>C1234</t>
  </si>
  <si>
    <t>P591</t>
  </si>
  <si>
    <t>UPI</t>
  </si>
  <si>
    <t>C1282</t>
  </si>
  <si>
    <t>P573</t>
  </si>
  <si>
    <t>C1036</t>
  </si>
  <si>
    <t>COD</t>
  </si>
  <si>
    <t>C1032</t>
  </si>
  <si>
    <t>P548</t>
  </si>
  <si>
    <t>South</t>
  </si>
  <si>
    <t>C1120</t>
  </si>
  <si>
    <t>P574</t>
  </si>
  <si>
    <t>North</t>
  </si>
  <si>
    <t>C1113</t>
  </si>
  <si>
    <t>P559</t>
  </si>
  <si>
    <t>C1215</t>
  </si>
  <si>
    <t>C1103</t>
  </si>
  <si>
    <t>P533</t>
  </si>
  <si>
    <t>C1218</t>
  </si>
  <si>
    <t>P526</t>
  </si>
  <si>
    <t>C1154</t>
  </si>
  <si>
    <t>P528</t>
  </si>
  <si>
    <t>C1116</t>
  </si>
  <si>
    <t>P577</t>
  </si>
  <si>
    <t>P590</t>
  </si>
  <si>
    <t>C1285</t>
  </si>
  <si>
    <t>P524</t>
  </si>
  <si>
    <t>C1138</t>
  </si>
  <si>
    <t>P584</t>
  </si>
  <si>
    <t>C1137</t>
  </si>
  <si>
    <t>P593</t>
  </si>
  <si>
    <t>C1131</t>
  </si>
  <si>
    <t>C1235</t>
  </si>
  <si>
    <t>P511</t>
  </si>
  <si>
    <t>C1176</t>
  </si>
  <si>
    <t>P527</t>
  </si>
  <si>
    <t>P514</t>
  </si>
  <si>
    <t>P597</t>
  </si>
  <si>
    <t>C1055</t>
  </si>
  <si>
    <t>P595</t>
  </si>
  <si>
    <t>C1265</t>
  </si>
  <si>
    <t>P508</t>
  </si>
  <si>
    <t>C1097</t>
  </si>
  <si>
    <t>P566</t>
  </si>
  <si>
    <t>C1094</t>
  </si>
  <si>
    <t>P596</t>
  </si>
  <si>
    <t>C1189</t>
  </si>
  <si>
    <t>C1139</t>
  </si>
  <si>
    <t>P519</t>
  </si>
  <si>
    <t>P510</t>
  </si>
  <si>
    <t>C1195</t>
  </si>
  <si>
    <t>P579</t>
  </si>
  <si>
    <t>C1134</t>
  </si>
  <si>
    <t>P501</t>
  </si>
  <si>
    <t>C1025</t>
  </si>
  <si>
    <t>P549</t>
  </si>
  <si>
    <t>C1092</t>
  </si>
  <si>
    <t>P563</t>
  </si>
  <si>
    <t>C1119</t>
  </si>
  <si>
    <t>C1141</t>
  </si>
  <si>
    <t>P532</t>
  </si>
  <si>
    <t>C1269</t>
  </si>
  <si>
    <t>C1015</t>
  </si>
  <si>
    <t>P589</t>
  </si>
  <si>
    <t>C1248</t>
  </si>
  <si>
    <t>P540</t>
  </si>
  <si>
    <t>C1153</t>
  </si>
  <si>
    <t>P542</t>
  </si>
  <si>
    <t>C1175</t>
  </si>
  <si>
    <t>P512</t>
  </si>
  <si>
    <t>C1298</t>
  </si>
  <si>
    <t>P506</t>
  </si>
  <si>
    <t>C1161</t>
  </si>
  <si>
    <t>P551</t>
  </si>
  <si>
    <t>C1238</t>
  </si>
  <si>
    <t>P504</t>
  </si>
  <si>
    <t>C1276</t>
  </si>
  <si>
    <t>P545</t>
  </si>
  <si>
    <t>C1144</t>
  </si>
  <si>
    <t>P522</t>
  </si>
  <si>
    <t>C1206</t>
  </si>
  <si>
    <t>P502</t>
  </si>
  <si>
    <t>C1044</t>
  </si>
  <si>
    <t>P538</t>
  </si>
  <si>
    <t>C1002</t>
  </si>
  <si>
    <t>C1127</t>
  </si>
  <si>
    <t>C1090</t>
  </si>
  <si>
    <t>P567</t>
  </si>
  <si>
    <t>P594</t>
  </si>
  <si>
    <t>C1287</t>
  </si>
  <si>
    <t>P570</t>
  </si>
  <si>
    <t>C1081</t>
  </si>
  <si>
    <t>P562</t>
  </si>
  <si>
    <t>C1012</t>
  </si>
  <si>
    <t>C1083</t>
  </si>
  <si>
    <t>P509</t>
  </si>
  <si>
    <t>C1077</t>
  </si>
  <si>
    <t>C1143</t>
  </si>
  <si>
    <t>P571</t>
  </si>
  <si>
    <t>C1140</t>
  </si>
  <si>
    <t>P536</t>
  </si>
  <si>
    <t>C1118</t>
  </si>
  <si>
    <t>C1232</t>
  </si>
  <si>
    <t>P555</t>
  </si>
  <si>
    <t>C1178</t>
  </si>
  <si>
    <t>C1156</t>
  </si>
  <si>
    <t>P520</t>
  </si>
  <si>
    <t>C1059</t>
  </si>
  <si>
    <t>C1085</t>
  </si>
  <si>
    <t>P556</t>
  </si>
  <si>
    <t>C1201</t>
  </si>
  <si>
    <t>C1089</t>
  </si>
  <si>
    <t>P503</t>
  </si>
  <si>
    <t>C1293</t>
  </si>
  <si>
    <t>P513</t>
  </si>
  <si>
    <t>C1286</t>
  </si>
  <si>
    <t>C1111</t>
  </si>
  <si>
    <t>P592</t>
  </si>
  <si>
    <t>P554</t>
  </si>
  <si>
    <t>P550</t>
  </si>
  <si>
    <t>C1069</t>
  </si>
  <si>
    <t>C1174</t>
  </si>
  <si>
    <t>P568</t>
  </si>
  <si>
    <t>C1087</t>
  </si>
  <si>
    <t>P599</t>
  </si>
  <si>
    <t>P547</t>
  </si>
  <si>
    <t>C1267</t>
  </si>
  <si>
    <t>C1296</t>
  </si>
  <si>
    <t>C1226</t>
  </si>
  <si>
    <t>C1184</t>
  </si>
  <si>
    <t>C1039</t>
  </si>
  <si>
    <t>C1230</t>
  </si>
  <si>
    <t>P558</t>
  </si>
  <si>
    <t>C1166</t>
  </si>
  <si>
    <t>C1279</t>
  </si>
  <si>
    <t>C1066</t>
  </si>
  <si>
    <t>P543</t>
  </si>
  <si>
    <t>C1021</t>
  </si>
  <si>
    <t>P553</t>
  </si>
  <si>
    <t>C1274</t>
  </si>
  <si>
    <t>C1009</t>
  </si>
  <si>
    <t>C1237</t>
  </si>
  <si>
    <t>C1115</t>
  </si>
  <si>
    <t>C1076</t>
  </si>
  <si>
    <t>P515</t>
  </si>
  <si>
    <t>P564</t>
  </si>
  <si>
    <t>C1291</t>
  </si>
  <si>
    <t>P534</t>
  </si>
  <si>
    <t>C1130</t>
  </si>
  <si>
    <t>C1222</t>
  </si>
  <si>
    <t>P560</t>
  </si>
  <si>
    <t>C1148</t>
  </si>
  <si>
    <t>C1275</t>
  </si>
  <si>
    <t>C1149</t>
  </si>
  <si>
    <t>C1185</t>
  </si>
  <si>
    <t>C1179</t>
  </si>
  <si>
    <t>P583</t>
  </si>
  <si>
    <t>C1255</t>
  </si>
  <si>
    <t>P581</t>
  </si>
  <si>
    <t>C1060</t>
  </si>
  <si>
    <t>P585</t>
  </si>
  <si>
    <t>P517</t>
  </si>
  <si>
    <t>C1242</t>
  </si>
  <si>
    <t>P598</t>
  </si>
  <si>
    <t>C1209</t>
  </si>
  <si>
    <t>C1197</t>
  </si>
  <si>
    <t>C1273</t>
  </si>
  <si>
    <t>P530</t>
  </si>
  <si>
    <t>C1106</t>
  </si>
  <si>
    <t>C1050</t>
  </si>
  <si>
    <t>P588</t>
  </si>
  <si>
    <t>C1110</t>
  </si>
  <si>
    <t>C1169</t>
  </si>
  <si>
    <t>C1053</t>
  </si>
  <si>
    <t>C1079</t>
  </si>
  <si>
    <t>P523</t>
  </si>
  <si>
    <t>C1095</t>
  </si>
  <si>
    <t>P557</t>
  </si>
  <si>
    <t>C1033</t>
  </si>
  <si>
    <t>C1190</t>
  </si>
  <si>
    <t>C1145</t>
  </si>
  <si>
    <t>P529</t>
  </si>
  <si>
    <t>C1194</t>
  </si>
  <si>
    <t>C1034</t>
  </si>
  <si>
    <t>P572</t>
  </si>
  <si>
    <t>C1253</t>
  </si>
  <si>
    <t>P561</t>
  </si>
  <si>
    <t>P539</t>
  </si>
  <si>
    <t>C1157</t>
  </si>
  <si>
    <t>P505</t>
  </si>
  <si>
    <t>P575</t>
  </si>
  <si>
    <t>C1027</t>
  </si>
  <si>
    <t>P516</t>
  </si>
  <si>
    <t>C1191</t>
  </si>
  <si>
    <t>C1030</t>
  </si>
  <si>
    <t>C1165</t>
  </si>
  <si>
    <t>C1272</t>
  </si>
  <si>
    <t>P535</t>
  </si>
  <si>
    <t>C1211</t>
  </si>
  <si>
    <t>C1193</t>
  </si>
  <si>
    <t>C1163</t>
  </si>
  <si>
    <t>P582</t>
  </si>
  <si>
    <t>C1080</t>
  </si>
  <si>
    <t>C1168</t>
  </si>
  <si>
    <t>P525</t>
  </si>
  <si>
    <t>C1151</t>
  </si>
  <si>
    <t>C1102</t>
  </si>
  <si>
    <t>C1297</t>
  </si>
  <si>
    <t>C1072</t>
  </si>
  <si>
    <t>C1020</t>
  </si>
  <si>
    <t>C1014</t>
  </si>
  <si>
    <t>C1246</t>
  </si>
  <si>
    <t>C1074</t>
  </si>
  <si>
    <t>C1266</t>
  </si>
  <si>
    <t>C1124</t>
  </si>
  <si>
    <t>C1182</t>
  </si>
  <si>
    <t>P521</t>
  </si>
  <si>
    <t>C1100</t>
  </si>
  <si>
    <t>P518</t>
  </si>
  <si>
    <t>C1247</t>
  </si>
  <si>
    <t>C1264</t>
  </si>
  <si>
    <t>C1062</t>
  </si>
  <si>
    <t>P569</t>
  </si>
  <si>
    <t>C1142</t>
  </si>
  <si>
    <t>C1281</t>
  </si>
  <si>
    <t>C1042</t>
  </si>
  <si>
    <t>C1250</t>
  </si>
  <si>
    <t>P537</t>
  </si>
  <si>
    <t>C1259</t>
  </si>
  <si>
    <t>C1132</t>
  </si>
  <si>
    <t>C1196</t>
  </si>
  <si>
    <t>C1252</t>
  </si>
  <si>
    <t>C1186</t>
  </si>
  <si>
    <t>C1056</t>
  </si>
  <si>
    <t>C1005</t>
  </si>
  <si>
    <t>C1114</t>
  </si>
  <si>
    <t>C1078</t>
  </si>
  <si>
    <t>C1167</t>
  </si>
  <si>
    <t>C1202</t>
  </si>
  <si>
    <t>C1093</t>
  </si>
  <si>
    <t>P580</t>
  </si>
  <si>
    <t>C1065</t>
  </si>
  <si>
    <t>C1204</t>
  </si>
  <si>
    <t>C1010</t>
  </si>
  <si>
    <t>C1284</t>
  </si>
  <si>
    <t>P578</t>
  </si>
  <si>
    <t>C1016</t>
  </si>
  <si>
    <t>C1257</t>
  </si>
  <si>
    <t>C1229</t>
  </si>
  <si>
    <t>P552</t>
  </si>
  <si>
    <t>C1067</t>
  </si>
  <si>
    <t>C1051</t>
  </si>
  <si>
    <t>C1150</t>
  </si>
  <si>
    <t>C1164</t>
  </si>
  <si>
    <t>C1075</t>
  </si>
  <si>
    <t>C1037</t>
  </si>
  <si>
    <t>C1205</t>
  </si>
  <si>
    <t>C1262</t>
  </si>
  <si>
    <t>C1217</t>
  </si>
  <si>
    <t>C1263</t>
  </si>
  <si>
    <t>C1198</t>
  </si>
  <si>
    <t>P544</t>
  </si>
  <si>
    <t>C1220</t>
  </si>
  <si>
    <t>C1227</t>
  </si>
  <si>
    <t>C1219</t>
  </si>
  <si>
    <t>C1105</t>
  </si>
  <si>
    <t>C1054</t>
  </si>
  <si>
    <t>C1047</t>
  </si>
  <si>
    <t>C1236</t>
  </si>
  <si>
    <t>C1024</t>
  </si>
  <si>
    <t>C1207</t>
  </si>
  <si>
    <t>C1210</t>
  </si>
  <si>
    <t>C1128</t>
  </si>
  <si>
    <t>C1188</t>
  </si>
  <si>
    <t>C1126</t>
  </si>
  <si>
    <t>C1280</t>
  </si>
  <si>
    <t>C1008</t>
  </si>
  <si>
    <t>C1289</t>
  </si>
  <si>
    <t>P500</t>
  </si>
  <si>
    <t>C1258</t>
  </si>
  <si>
    <t>C1058</t>
  </si>
  <si>
    <t>C1283</t>
  </si>
  <si>
    <t>P576</t>
  </si>
  <si>
    <t>C1084</t>
  </si>
  <si>
    <t>C1228</t>
  </si>
  <si>
    <t>C1292</t>
  </si>
  <si>
    <t>C1146</t>
  </si>
  <si>
    <t>C1254</t>
  </si>
  <si>
    <t>C1048</t>
  </si>
  <si>
    <t>C1117</t>
  </si>
  <si>
    <t>C1183</t>
  </si>
  <si>
    <t>C1260</t>
  </si>
  <si>
    <t>C1208</t>
  </si>
  <si>
    <t>C1040</t>
  </si>
  <si>
    <t>C1061</t>
  </si>
  <si>
    <t>C1223</t>
  </si>
  <si>
    <t>C1171</t>
  </si>
  <si>
    <t>C1203</t>
  </si>
  <si>
    <t>C1216</t>
  </si>
  <si>
    <t>C1000</t>
  </si>
  <si>
    <t>C1043</t>
  </si>
  <si>
    <t>C1045</t>
  </si>
  <si>
    <t>C1294</t>
  </si>
  <si>
    <t>C1213</t>
  </si>
  <si>
    <t>C1023</t>
  </si>
  <si>
    <t>P546</t>
  </si>
  <si>
    <t>C1057</t>
  </si>
  <si>
    <t>C1243</t>
  </si>
  <si>
    <t>C1212</t>
  </si>
  <si>
    <t>C1063</t>
  </si>
  <si>
    <t>C1064</t>
  </si>
  <si>
    <t>P531</t>
  </si>
  <si>
    <t>C1099</t>
  </si>
  <si>
    <t>C1007</t>
  </si>
  <si>
    <t>P541</t>
  </si>
  <si>
    <t>C1011</t>
  </si>
  <si>
    <t>C1006</t>
  </si>
  <si>
    <t>C1112</t>
  </si>
  <si>
    <t>C1271</t>
  </si>
  <si>
    <t>C1003</t>
  </si>
  <si>
    <t>C1180</t>
  </si>
  <si>
    <t>C1295</t>
  </si>
  <si>
    <t>C1101</t>
  </si>
  <si>
    <t>C1299</t>
  </si>
  <si>
    <t>C1277</t>
  </si>
  <si>
    <t>C1224</t>
  </si>
  <si>
    <t>C1018</t>
  </si>
  <si>
    <t>C1082</t>
  </si>
  <si>
    <t>C1136</t>
  </si>
  <si>
    <t>C1125</t>
  </si>
  <si>
    <t>C1158</t>
  </si>
  <si>
    <t>C1017</t>
  </si>
  <si>
    <t>C1288</t>
  </si>
  <si>
    <t>C1108</t>
  </si>
  <si>
    <t>C1290</t>
  </si>
  <si>
    <t>C1029</t>
  </si>
  <si>
    <t>C1231</t>
  </si>
  <si>
    <t>C1049</t>
  </si>
  <si>
    <t>C1159</t>
  </si>
  <si>
    <t>C1261</t>
  </si>
  <si>
    <t>C1244</t>
  </si>
  <si>
    <t>C1170</t>
  </si>
  <si>
    <t>C1004</t>
  </si>
  <si>
    <t>C1278</t>
  </si>
  <si>
    <t>C1052</t>
  </si>
  <si>
    <t>C1162</t>
  </si>
  <si>
    <t>C1068</t>
  </si>
  <si>
    <t>P565</t>
  </si>
  <si>
    <t>C1135</t>
  </si>
  <si>
    <t>C1086</t>
  </si>
  <si>
    <t>C1225</t>
  </si>
  <si>
    <t>C1122</t>
  </si>
  <si>
    <t>C1172</t>
  </si>
  <si>
    <t>C1241</t>
  </si>
  <si>
    <t>C1155</t>
  </si>
  <si>
    <t>C1240</t>
  </si>
  <si>
    <t>C1013</t>
  </si>
  <si>
    <t>C1001</t>
  </si>
  <si>
    <t>C1233</t>
  </si>
  <si>
    <t>C1199</t>
  </si>
  <si>
    <t>C1200</t>
  </si>
  <si>
    <t>C1096</t>
  </si>
  <si>
    <t>C1041</t>
  </si>
  <si>
    <t>C1239</t>
  </si>
  <si>
    <t>C1152</t>
  </si>
  <si>
    <t>C1107</t>
  </si>
  <si>
    <t>C1121</t>
  </si>
  <si>
    <t>C1038</t>
  </si>
  <si>
    <t>C1070</t>
  </si>
  <si>
    <t>C1028</t>
  </si>
  <si>
    <t>C1019</t>
  </si>
  <si>
    <t>C1088</t>
  </si>
  <si>
    <t>C1091</t>
  </si>
  <si>
    <t>C1268</t>
  </si>
  <si>
    <t>C1098</t>
  </si>
  <si>
    <t>C1270</t>
  </si>
  <si>
    <t>C1022</t>
  </si>
  <si>
    <t>C1177</t>
  </si>
  <si>
    <t>C1104</t>
  </si>
  <si>
    <t>C1160</t>
  </si>
  <si>
    <t>C1181</t>
  </si>
  <si>
    <t>C1031</t>
  </si>
  <si>
    <t>C1192</t>
  </si>
  <si>
    <t>C1245</t>
  </si>
  <si>
    <t>C1109</t>
  </si>
  <si>
    <t>C1221</t>
  </si>
  <si>
    <t>C1073</t>
  </si>
  <si>
    <t>C1249</t>
  </si>
  <si>
    <t>C1123</t>
  </si>
  <si>
    <t>Product_Name</t>
  </si>
  <si>
    <t>Category</t>
  </si>
  <si>
    <t>Subcategory</t>
  </si>
  <si>
    <t>Cost_Price</t>
  </si>
  <si>
    <t>Product_0</t>
  </si>
  <si>
    <t>Home</t>
  </si>
  <si>
    <t>C</t>
  </si>
  <si>
    <t>Product_1</t>
  </si>
  <si>
    <t>Sports</t>
  </si>
  <si>
    <t>B</t>
  </si>
  <si>
    <t>Product_2</t>
  </si>
  <si>
    <t>A</t>
  </si>
  <si>
    <t>Product_3</t>
  </si>
  <si>
    <t>Electronics</t>
  </si>
  <si>
    <t>Product_4</t>
  </si>
  <si>
    <t>Product_5</t>
  </si>
  <si>
    <t>Product_6</t>
  </si>
  <si>
    <t>Beauty</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</si>
  <si>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</si>
  <si>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</si>
  <si>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</si>
  <si>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</si>
  <si>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</si>
  <si>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</si>
  <si>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</si>
  <si>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</si>
  <si>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</si>
  <si>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</si>
  <si>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</si>
  <si>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</si>
  <si>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</si>
  <si>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</si>
  <si>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</si>
  <si>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</si>
  <si>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</si>
  <si>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</si>
  <si>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Fashion</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</si>
  <si>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</si>
  <si>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</si>
  <si>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</si>
  <si>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</si>
  <si>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</si>
  <si>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</si>
  <si>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</si>
  <si>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</si>
  <si>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</si>
  <si>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</si>
  <si>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</si>
  <si>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</si>
  <si>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</si>
  <si>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</si>
  <si>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</si>
  <si>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</si>
  <si>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</si>
  <si>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</si>
  <si>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</si>
  <si>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</si>
  <si>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</si>
  <si>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</si>
  <si>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</si>
  <si>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</si>
  <si>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</si>
  <si>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</si>
  <si>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</si>
  <si>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</si>
  <si>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</si>
  <si>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</si>
  <si>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</si>
  <si>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</si>
  <si>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</si>
  <si>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</si>
  <si>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</si>
  <si>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</si>
  <si>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</si>
  <si>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</si>
  <si>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</si>
  <si>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</si>
  <si>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</si>
  <si>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</si>
  <si>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</si>
  <si>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</si>
  <si>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</si>
  <si>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</si>
  <si>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</si>
  <si>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</si>
  <si>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</si>
  <si>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</si>
  <si>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</si>
  <si>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</si>
  <si>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</si>
  <si>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</si>
  <si>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</si>
  <si>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</si>
  <si>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</si>
  <si>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</si>
  <si>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</si>
  <si>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</si>
  <si>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</si>
  <si>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</si>
  <si>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</si>
  <si>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</si>
  <si>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</si>
  <si>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</si>
  <si>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</si>
  <si>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</si>
  <si>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</si>
  <si>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</si>
  <si>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</si>
  <si>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</si>
  <si>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</si>
  <si>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</si>
  <si>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</si>
  <si>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Customer_Name</t>
  </si>
  <si>
    <t>City</t>
  </si>
  <si>
    <t>State</t>
  </si>
  <si>
    <t>Join_Date</t>
  </si>
  <si>
    <t>Customer_0</t>
  </si>
  <si>
    <t>Chennai</t>
  </si>
  <si>
    <t>Tamil Nadu</t>
  </si>
  <si>
    <t>Customer_1</t>
  </si>
  <si>
    <t>Pune</t>
  </si>
  <si>
    <t>Telangana</t>
  </si>
  <si>
    <t>Customer_2</t>
  </si>
  <si>
    <t>Customer_3</t>
  </si>
  <si>
    <t>Delhi</t>
  </si>
  <si>
    <t>Customer_4</t>
  </si>
  <si>
    <t>Bengaluru</t>
  </si>
  <si>
    <t>Karnataka</t>
  </si>
  <si>
    <t>Customer_5</t>
  </si>
  <si>
    <t>Mumbai</t>
  </si>
  <si>
    <t>Customer_6</t>
  </si>
  <si>
    <t>Customer_7</t>
  </si>
  <si>
    <t>Maharashtra</t>
  </si>
  <si>
    <t>Customer_8</t>
  </si>
  <si>
    <t>Customer_9</t>
  </si>
  <si>
    <t>Hyderabad</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</si>
  <si>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</si>
  <si>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</si>
  <si>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</si>
  <si>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</si>
  <si>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</si>
  <si>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</si>
  <si>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</si>
  <si>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</si>
  <si>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</si>
  <si>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</si>
  <si>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</si>
  <si>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</si>
  <si>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</si>
  <si>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</si>
  <si>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</si>
  <si>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</si>
  <si>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C1026</t>
  </si>
  <si>
    <t>Customer_26</t>
  </si>
  <si>
    <t>Customer_27</t>
  </si>
  <si>
    <t>Customer_28</t>
  </si>
  <si>
    <t>Customer_29</t>
  </si>
  <si>
    <t>Customer_30</t>
  </si>
  <si>
    <t>Customer_31</t>
  </si>
  <si>
    <t>Customer_32</t>
  </si>
  <si>
    <t>Customer_33</t>
  </si>
  <si>
    <t>Customer_34</t>
  </si>
  <si>
    <t>C1035</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</si>
  <si>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</si>
  <si>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</si>
  <si>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</si>
  <si>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</si>
  <si>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</si>
  <si>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</si>
  <si>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</si>
  <si>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</si>
  <si>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</si>
  <si>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</si>
  <si>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</si>
  <si>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</si>
  <si>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</si>
  <si>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</si>
  <si>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</si>
  <si>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</si>
  <si>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</si>
  <si>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</si>
  <si>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</si>
  <si>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</si>
  <si>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</si>
  <si>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</si>
  <si>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</si>
  <si>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</si>
  <si>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</si>
  <si>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</si>
  <si>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</si>
  <si>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</si>
  <si>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</si>
  <si>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</si>
  <si>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</si>
  <si>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</si>
  <si>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</si>
  <si>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</si>
  <si>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</si>
  <si>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</si>
  <si>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C1071</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</si>
  <si>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</si>
  <si>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</si>
  <si>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</si>
  <si>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</si>
  <si>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</si>
  <si>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</si>
  <si>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</si>
  <si>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</si>
  <si>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</si>
  <si>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</si>
  <si>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</si>
  <si>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</si>
  <si>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</si>
  <si>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</si>
  <si>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</si>
  <si>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</si>
  <si>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</si>
  <si>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</si>
  <si>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</si>
  <si>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</si>
  <si>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</si>
  <si>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</si>
  <si>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</si>
  <si>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</si>
  <si>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</si>
  <si>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</si>
  <si>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</si>
  <si>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</si>
  <si>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</si>
  <si>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</si>
  <si>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</si>
  <si>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</si>
  <si>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</si>
  <si>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</si>
  <si>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</si>
  <si>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</si>
  <si>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</si>
  <si>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</si>
  <si>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</si>
  <si>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</si>
  <si>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</si>
  <si>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</si>
  <si>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</si>
  <si>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</si>
  <si>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</si>
  <si>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</si>
  <si>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</si>
  <si>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</si>
  <si>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</si>
  <si>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</si>
  <si>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</si>
  <si>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</si>
  <si>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</si>
  <si>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</si>
  <si>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</si>
  <si>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</si>
  <si>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</si>
  <si>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</si>
  <si>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C1129</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</si>
  <si>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</si>
  <si>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</si>
  <si>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</si>
  <si>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</si>
  <si>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</si>
  <si>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</si>
  <si>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</si>
  <si>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</si>
  <si>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</si>
  <si>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</si>
  <si>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</si>
  <si>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</si>
  <si>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</si>
  <si>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</si>
  <si>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</si>
  <si>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</si>
  <si>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</si>
  <si>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</si>
  <si>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C1147</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</si>
  <si>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</si>
  <si>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</si>
  <si>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</si>
  <si>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</si>
  <si>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</si>
  <si>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</si>
  <si>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</si>
  <si>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</si>
  <si>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</si>
  <si>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</si>
  <si>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</si>
  <si>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</si>
  <si>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</si>
  <si>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</si>
  <si>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</si>
  <si>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</si>
  <si>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</si>
  <si>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</si>
  <si>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</si>
  <si>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</si>
  <si>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</si>
  <si>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</si>
  <si>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</si>
  <si>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</si>
  <si>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</si>
  <si>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</si>
  <si>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C1173</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</si>
  <si>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</si>
  <si>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</si>
  <si>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</si>
  <si>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</si>
  <si>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</si>
  <si>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</si>
  <si>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</si>
  <si>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</si>
  <si>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</si>
  <si>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</si>
  <si>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</si>
  <si>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</si>
  <si>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</si>
  <si>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</si>
  <si>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</si>
  <si>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</si>
  <si>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</si>
  <si>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</si>
  <si>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</si>
  <si>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</si>
  <si>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</si>
  <si>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</si>
  <si>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</si>
  <si>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</si>
  <si>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</si>
  <si>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</si>
  <si>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</si>
  <si>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</si>
  <si>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</si>
  <si>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</si>
  <si>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</si>
  <si>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</si>
  <si>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</si>
  <si>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</si>
  <si>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</si>
  <si>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</si>
  <si>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</si>
  <si>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</si>
  <si>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</si>
  <si>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</si>
  <si>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</si>
  <si>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C1214</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</si>
  <si>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</si>
  <si>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</si>
  <si>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</si>
  <si>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</si>
  <si>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</si>
  <si>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</si>
  <si>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</si>
  <si>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</si>
  <si>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</si>
  <si>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</si>
  <si>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</si>
  <si>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</si>
  <si>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</si>
  <si>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</si>
  <si>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</si>
  <si>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</si>
  <si>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</si>
  <si>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</si>
  <si>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</si>
  <si>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</si>
  <si>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</si>
  <si>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</si>
  <si>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</si>
  <si>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</si>
  <si>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</si>
  <si>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</si>
  <si>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</si>
  <si>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</si>
  <si>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</si>
  <si>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</si>
  <si>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</si>
  <si>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</si>
  <si>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</si>
  <si>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</si>
  <si>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</si>
  <si>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</si>
  <si>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</si>
  <si>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C1251</t>
  </si>
  <si>
    <t>Customer_251</t>
  </si>
  <si>
    <t>Customer_252</t>
  </si>
  <si>
    <t>Customer_253</t>
  </si>
  <si>
    <t>Customer_254</t>
  </si>
  <si>
    <t>Customer_255</t>
  </si>
  <si>
    <t>C1256</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</si>
  <si>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</si>
  <si>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</si>
  <si>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</si>
  <si>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</si>
  <si>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</si>
  <si>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</si>
  <si>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</si>
  <si>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</si>
  <si>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</si>
  <si>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</si>
  <si>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</si>
  <si>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</si>
  <si>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</si>
  <si>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</si>
  <si>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</si>
  <si>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</si>
  <si>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</si>
  <si>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</si>
  <si>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</si>
  <si>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</si>
  <si>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</si>
  <si>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</si>
  <si>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</si>
  <si>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</si>
  <si>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</si>
  <si>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</si>
  <si>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</si>
  <si>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</si>
  <si>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</si>
  <si>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</si>
  <si>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</si>
  <si>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</si>
  <si>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</si>
  <si>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</si>
  <si>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</si>
  <si>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</si>
  <si>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</si>
  <si>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</si>
  <si>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</si>
  <si>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</si>
  <si>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</si>
  <si>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</si>
  <si>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</si>
  <si>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</si>
  <si>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Customer_360</t>
  </si>
  <si>
    <t>Customer_480</t>
  </si>
  <si>
    <t>Customer_600</t>
  </si>
  <si>
    <t>Customer_720</t>
  </si>
  <si>
    <t>NAME</t>
  </si>
  <si>
    <t>D</t>
  </si>
  <si>
    <t>COUNT</t>
  </si>
  <si>
    <t>Jan</t>
  </si>
  <si>
    <t>Feb</t>
  </si>
  <si>
    <t>Mar</t>
  </si>
  <si>
    <t>Apr</t>
  </si>
  <si>
    <t>May</t>
  </si>
  <si>
    <t>Jun</t>
  </si>
  <si>
    <t>Jul</t>
  </si>
  <si>
    <t>Aug</t>
  </si>
  <si>
    <t>Sep</t>
  </si>
  <si>
    <t>Oct</t>
  </si>
  <si>
    <t>Nov</t>
  </si>
  <si>
    <t>Dec</t>
  </si>
  <si>
    <t>Customer</t>
  </si>
  <si>
    <t xml:space="preserve">Tax RATE </t>
  </si>
  <si>
    <t>multiplicaiton</t>
  </si>
  <si>
    <t>Ashok</t>
  </si>
  <si>
    <t>ahoks</t>
  </si>
  <si>
    <t>Total cost</t>
  </si>
  <si>
    <t>Row Labels</t>
  </si>
  <si>
    <t>Grand Total</t>
  </si>
  <si>
    <t>Gross Sales</t>
  </si>
  <si>
    <t>Net sales</t>
  </si>
  <si>
    <t>Sum of Gross Sales</t>
  </si>
  <si>
    <t xml:space="preserve">Total sales </t>
  </si>
  <si>
    <t>Total orders</t>
  </si>
  <si>
    <t>AOV</t>
  </si>
  <si>
    <t>Total discount</t>
  </si>
  <si>
    <t>30-Jun</t>
  </si>
  <si>
    <t>Cost Price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</si>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</sst>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font>
      <sz val="11"/>
      <color theme="1"/>
      <name val="Calibri"/>
      <family val="2"/>
      <scheme val="minor"/>
    </font>
    <font>
      <b/>
      <sz val="11"/>
      <color theme="1"/>
      <name val="Calibri"/>
      <family val="2"/>
      <scheme val="minor"/>
    </font>
    <font>
      <sz val="14"/>
      <color rgb="FF000000"/>
      <name val="-webkit-standard"/>
    </font>
    <font>
      <sz val="8"/>
      <name val="Calibri"/>
      <family val="2"/>
      <scheme val="minor"/>
    </font>
    <font>
      <sz val="10"/>
      <color rgb="FF000000"/>
      <name val="Courier New"/>
      <family val="1"/>
    </font>
    <font>
      <sz val="11"/>
      <color rgb="FF000000"/>
      <name val="Calibri"/>
      <family val="2"/>
      <scheme val="minor"/>
    </font>
    <font>
      <b/>
      <sz val="11"/>
      <color rgb="FF000000"/>
      <name val="Calibri"/>
      <family val="2"/>
      <scheme val="minor"/>
    </font>
    <font>
      <sz val="12"/>
      <color rgb="FF000000"/>
      <name val="Courier New"/>
      <family val="1"/>
    </font>
    <font>
      <b/>
      <sz val="12"/>
      <color rgb="FF000000"/>
      <name val="Courier New"/>
      <family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xf numFmtId="0" fontId="1" fillId="2" borderId="0" xfId="0" applyFont="1" applyFill="1"/>
    <xf numFmtId="0" fontId="0" fillId="2" borderId="0" xfId="0" applyFill="1"/>
    <xf numFmtId="0" fontId="2" fillId="0" borderId="0" xfId="0" applyFont="1"/>
    <xf numFmtId="0" fontId="4" fillId="0" borderId="0" xfId="0" applyFont="1"/>
    <xf numFmtId="14" fontId="4" fillId="0" borderId="0" xfId="0" applyNumberFormat="1" applyFont="1"/>
    <xf numFmtId="0" fontId="4" fillId="0" borderId="0" xfId="0" applyFont="1" applyAlignment="1">
      <alignment vertical="center"/>
    </xf>
    <xf numFmtId="0" fontId="1" fillId="3" borderId="0" xfId="0" applyFont="1" applyFill="1"/>
    <xf numFmtId="0" fontId="0" fillId="3" borderId="0" xfId="0" applyFill="1"/>
    <xf numFmtId="0" fontId="5" fillId="0" borderId="0" xfId="0" applyFont="1"/>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7" fillId="0" borderId="0" xfId="0" applyFont="1" applyAlignment="1">
      <alignment vertical="center"/>
    </xf>
    <xf numFmtId="0" fontId="8"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[Excel_Analytics_Dataset.xlsx]Pivot_Table_Analyze!PivotTable5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Pivot_Table_Analyze!$B$1</c:f>
              <c:strCache>
                <c:ptCount val="1"/>
                <c:pt idx="0">
                  <c:v>Total</c:v>
                </c:pt>
              </c:strCache>
            </c:strRef>
          </c:tx>
          <c:spPr>
            <a:solidFill>
              <a:schemeClr val="accent1"/>
            </a:solidFill>
            <a:ln>
              <a:noFill/>
            </a:ln>
            <a:effectLst/>
          </c:spPr>
          <c:invertIfNegative val="0"/>
          <c:cat>
            <c:multiLvlStrRef>
              <c:f>Pivot_Table_Analyze!$A$2:$A$19</c:f>
              <c:multiLvlStrCache>
                <c:ptCount val="12"/>
                <c:lvl>
                  <c:pt idx="2">
                    <c:v>30-Jun</c:v>
                  </c:pt>
                </c:lvl>
                <c:lvl>
                  <c:pt idx="0">
                    <c:v>Jan</c:v>
                  </c:pt>
                  <c:pt idx="1">
                    <c:v>May</c:v>
                  </c:pt>
                  <c:pt idx="2">
                    <c:v>Jun</c:v>
                  </c:pt>
                  <c:pt idx="3">
                    <c:v>Sep</c:v>
                  </c:pt>
                  <c:pt idx="4">
                    <c:v>Feb</c:v>
                  </c:pt>
                  <c:pt idx="5">
                    <c:v>Mar</c:v>
                  </c:pt>
                  <c:pt idx="6">
                    <c:v>Apr</c:v>
                  </c:pt>
                  <c:pt idx="7">
                    <c:v>May</c:v>
                  </c:pt>
                  <c:pt idx="8">
                    <c:v>Sep</c:v>
                  </c:pt>
                  <c:pt idx="9">
                    <c:v>Dec</c:v>
                  </c:pt>
                  <c:pt idx="10">
                    <c:v>Apr</c:v>
                  </c:pt>
                  <c:pt idx="11">
                    <c:v>Sep</c:v>
                  </c:pt>
                </c:lvl>
                <c:lvl>
                  <c:pt idx="0">
                    <c:v>East</c:v>
                  </c:pt>
                  <c:pt idx="4">
                    <c:v>North</c:v>
                  </c:pt>
                  <c:pt idx="7">
                    <c:v>South</c:v>
                  </c:pt>
                  <c:pt idx="10">
                    <c:v>West</c:v>
                  </c:pt>
                </c:lvl>
              </c:multiLvlStrCache>
            </c:multiLvlStrRef>
          </c:cat>
          <c:val>
            <c:numRef>
              <c:f>Pivot_Table_Analyze!$B$2:$B$19</c:f>
              <c:numCache>
                <c:formatCode>General</c:formatCode>
                <c:ptCount val="12"/>
                <c:pt idx="0">
                  <c:v>770</c:v>
                </c:pt>
                <c:pt idx="1">
                  <c:v>853</c:v>
                </c:pt>
                <c:pt idx="2">
                  <c:v>6376</c:v>
                </c:pt>
                <c:pt idx="3">
                  <c:v>2660</c:v>
                </c:pt>
                <c:pt idx="4">
                  <c:v>714</c:v>
                </c:pt>
                <c:pt idx="5">
                  <c:v>921</c:v>
                </c:pt>
                <c:pt idx="6">
                  <c:v>3852</c:v>
                </c:pt>
                <c:pt idx="7">
                  <c:v>1843</c:v>
                </c:pt>
                <c:pt idx="8">
                  <c:v>870</c:v>
                </c:pt>
                <c:pt idx="9">
                  <c:v>3705</c:v>
                </c:pt>
                <c:pt idx="10">
                  <c:v>6664</c:v>
                </c:pt>
                <c:pt idx="11">
                  <c:v>1087</c:v>
                </c:pt>
              </c:numCache>
            </c:numRef>
          </c:val>
          <c:extLst>
            <c:ext xmlns:c16="http://schemas.microsoft.com/office/drawing/2014/chart" uri="{C3380CC4-5D6E-409C-BE32-E72D297353CC}">
              <c16:uniqueId val="{00000000-E817-D940-B518-D5DD7BB230EA}"/>
            </c:ext>
          </c:extLst>
        </c:ser>
        <c:dLbls>
          <c:showLegendKey val="0"/>
          <c:showVal val="0"/>
          <c:showCatName val="0"/>
          <c:showSerName val="0"/>
          <c:showPercent val="0"/>
          <c:showBubbleSize val="0"/>
        </c:dLbls>
        <c:gapWidth val="219"/>
        <c:overlap val="-27"/>
        <c:axId val="1249873024"/>
        <c:axId val="1249874736"/>
      </c:barChart>
      <c:catAx>
        <c:axId val="124987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74736"/>
        <c:crosses val="autoZero"/>
        <c:auto val="1"/>
        <c:lblAlgn val="ctr"/>
        <c:lblOffset val="100"/>
        <c:noMultiLvlLbl val="0"/>
      </c:catAx>
      <c:valAx>
        <c:axId val="12498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7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1509059</xdr:colOff>
      <xdr:row>1</xdr:row>
      <xdr:rowOff>32870</xdr:rowOff>
    </xdr:from>
    <xdr:to>
      <xdr:col>8</xdr:col>
      <xdr:colOff>567764</xdr:colOff>
      <xdr:row>16</xdr:row>
      <xdr:rowOff>119528</xdr:rowOff>
    </xdr:to>
    <xdr:graphicFrame macro="">
      <xdr:nvGraphicFramePr>
        <xdr:cNvPr id="3" name="Chart 2">
          <a:extLst>
            <a:ext uri="{FF2B5EF4-FFF2-40B4-BE49-F238E27FC236}">
              <a16:creationId xmlns:a16="http://schemas.microsoft.com/office/drawing/2014/main" id="{254BA1A4-B446-6522-08E2-67C777591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153895</xdr:colOff>
      <xdr:row>15</xdr:row>
      <xdr:rowOff>8218</xdr:rowOff>
    </xdr:from>
    <xdr:to>
      <xdr:col>7</xdr:col>
      <xdr:colOff>324224</xdr:colOff>
      <xdr:row>27</xdr:row>
      <xdr:rowOff>106263</xdr:rowOff>
    </xdr:to>
    <mc:AlternateContent xmlns:mc="http://schemas.openxmlformats.org/markup-compatibility/2006" xmlns:a14="http://schemas.microsoft.com/office/drawing/2010/main">
      <mc:Choice Requires="a14">
        <xdr:graphicFrame macro="">
          <xdr:nvGraphicFramePr>
            <xdr:cNvPr id="4" name="Product_ID">
              <a:extLst>
                <a:ext uri="{FF2B5EF4-FFF2-40B4-BE49-F238E27FC236}">
                  <a16:creationId xmlns:a16="http://schemas.microsoft.com/office/drawing/2014/main" id="{7226260B-89A2-65DC-A855-824AC6A8E77D}"/>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5480424" y="292174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1483659</xdr:colOff>
      <xdr:row>14</xdr:row>
      <xdr:rowOff>120277</xdr:rowOff>
    </xdr:from>
    <xdr:to>
      <xdr:col>5</xdr:col>
      <xdr:colOff>107577</xdr:colOff>
      <xdr:row>27</xdr:row>
      <xdr:rowOff>24087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A207F97-F2FB-C546-DB93-4E4F1C0F29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05306" y="283957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900952</xdr:colOff>
      <xdr:row>14</xdr:row>
      <xdr:rowOff>75453</xdr:rowOff>
    </xdr:from>
    <xdr:to>
      <xdr:col>3</xdr:col>
      <xdr:colOff>2987</xdr:colOff>
      <xdr:row>26</xdr:row>
      <xdr:rowOff>173498</xdr:rowOff>
    </xdr:to>
    <mc:AlternateContent xmlns:mc="http://schemas.openxmlformats.org/markup-compatibility/2006" xmlns:a14="http://schemas.microsoft.com/office/drawing/2010/main">
      <mc:Choice Requires="a14">
        <xdr:graphicFrame macro="">
          <xdr:nvGraphicFramePr>
            <xdr:cNvPr id="6" name="Order_Date">
              <a:extLst>
                <a:ext uri="{FF2B5EF4-FFF2-40B4-BE49-F238E27FC236}">
                  <a16:creationId xmlns:a16="http://schemas.microsoft.com/office/drawing/2014/main" id="{C31BFCA9-A452-81DE-F515-27CCF5FC8E6D}"/>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842246" y="279474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05.425415393518" createdVersion="8" refreshedVersion="8" minRefreshableVersion="3" recordCount="1000" xr:uid="{B97000F7-0FA3-B840-B59B-9298B6391A4C}">
  <cacheSource type="worksheet">
    <worksheetSource ref="A1:M1001" sheet="Orders"/>
  </cacheSource>
  <cacheFields count="15">
    <cacheField name="Order_ID" numFmtId="0">
      <sharedItems containsSemiMixedTypes="0" containsString="0" containsNumber="1" containsInteger="1" minValue="100000" maxValue="100999" count="1000">
        <n v="100823"/>
        <n v="100023"/>
        <n v="100526"/>
        <n v="100207"/>
        <n v="100349"/>
        <n v="100600"/>
        <n v="100660"/>
        <n v="100611"/>
        <n v="100141"/>
        <n v="100437"/>
        <n v="100102"/>
        <n v="100577"/>
        <n v="100136"/>
        <n v="100212"/>
        <n v="100854"/>
        <n v="100583"/>
        <n v="100491"/>
        <n v="100092"/>
        <n v="100196"/>
        <n v="100369"/>
        <n v="100904"/>
        <n v="100360"/>
        <n v="100507"/>
        <n v="100127"/>
        <n v="100817"/>
        <n v="100342"/>
        <n v="100390"/>
        <n v="100637"/>
        <n v="100632"/>
        <n v="100895"/>
        <n v="100522"/>
        <n v="100373"/>
        <n v="100150"/>
        <n v="100708"/>
        <n v="100747"/>
        <n v="100828"/>
        <n v="100018"/>
        <n v="100561"/>
        <n v="100571"/>
        <n v="100322"/>
        <n v="100720"/>
        <n v="100889"/>
        <n v="100798"/>
        <n v="100925"/>
        <n v="100587"/>
        <n v="100063"/>
        <n v="100323"/>
        <n v="100841"/>
        <n v="100128"/>
        <n v="100617"/>
        <n v="100005"/>
        <n v="100978"/>
        <n v="100822"/>
        <n v="100132"/>
        <n v="100915"/>
        <n v="100730"/>
        <n v="100408"/>
        <n v="100247"/>
        <n v="100802"/>
        <n v="100911"/>
        <n v="100382"/>
        <n v="100139"/>
        <n v="100797"/>
        <n v="100956"/>
        <n v="100607"/>
        <n v="100786"/>
        <n v="100493"/>
        <n v="100086"/>
        <n v="100266"/>
        <n v="100040"/>
        <n v="100184"/>
        <n v="100807"/>
        <n v="100470"/>
        <n v="100676"/>
        <n v="100014"/>
        <n v="100359"/>
        <n v="100240"/>
        <n v="100772"/>
        <n v="100426"/>
        <n v="100337"/>
        <n v="100186"/>
        <n v="100566"/>
        <n v="100994"/>
        <n v="100027"/>
        <n v="100591"/>
        <n v="100236"/>
        <n v="100653"/>
        <n v="100902"/>
        <n v="100992"/>
        <n v="100860"/>
        <n v="100135"/>
        <n v="100701"/>
        <n v="100395"/>
        <n v="100700"/>
        <n v="100954"/>
        <n v="100423"/>
        <n v="100233"/>
        <n v="100887"/>
        <n v="100370"/>
        <n v="100557"/>
        <n v="100396"/>
        <n v="100614"/>
        <n v="100453"/>
        <n v="100547"/>
        <n v="100042"/>
        <n v="100401"/>
        <n v="100712"/>
        <n v="100170"/>
        <n v="100667"/>
        <n v="100361"/>
        <n v="100045"/>
        <n v="100075"/>
        <n v="100624"/>
        <n v="100535"/>
        <n v="100194"/>
        <n v="100454"/>
        <n v="100484"/>
        <n v="100374"/>
        <n v="100574"/>
        <n v="100806"/>
        <n v="100934"/>
        <n v="100871"/>
        <n v="100263"/>
        <n v="100113"/>
        <n v="100657"/>
        <n v="100697"/>
        <n v="100339"/>
        <n v="100808"/>
        <n v="100288"/>
        <n v="100580"/>
        <n v="100409"/>
        <n v="100759"/>
        <n v="100812"/>
        <n v="100694"/>
        <n v="100794"/>
        <n v="100668"/>
        <n v="100918"/>
        <n v="100245"/>
        <n v="100348"/>
        <n v="100033"/>
        <n v="100502"/>
        <n v="100182"/>
        <n v="100163"/>
        <n v="100094"/>
        <n v="100158"/>
        <n v="100430"/>
        <n v="100400"/>
        <n v="100043"/>
        <n v="100487"/>
        <n v="100514"/>
        <n v="100434"/>
        <n v="100090"/>
        <n v="100214"/>
        <n v="100897"/>
        <n v="100399"/>
        <n v="100078"/>
        <n v="100371"/>
        <n v="100831"/>
        <n v="100064"/>
        <n v="100017"/>
        <n v="100162"/>
        <n v="100885"/>
        <n v="100523"/>
        <n v="100959"/>
        <n v="100293"/>
        <n v="100609"/>
        <n v="100244"/>
        <n v="100471"/>
        <n v="100608"/>
        <n v="100215"/>
        <n v="100541"/>
        <n v="100497"/>
        <n v="100250"/>
        <n v="100821"/>
        <n v="100669"/>
        <n v="100699"/>
        <n v="100234"/>
        <n v="100291"/>
        <n v="100297"/>
        <n v="100418"/>
        <n v="100964"/>
        <n v="100876"/>
        <n v="100316"/>
        <n v="100310"/>
        <n v="100012"/>
        <n v="100972"/>
        <n v="100241"/>
        <n v="100449"/>
        <n v="100201"/>
        <n v="100103"/>
        <n v="100833"/>
        <n v="100536"/>
        <n v="100287"/>
        <n v="100407"/>
        <n v="100516"/>
        <n v="100100"/>
        <n v="100544"/>
        <n v="100595"/>
        <n v="100174"/>
        <n v="100188"/>
        <n v="100715"/>
        <n v="100787"/>
        <n v="100187"/>
        <n v="100345"/>
        <n v="100057"/>
        <n v="100232"/>
        <n v="100868"/>
        <n v="100650"/>
        <n v="100096"/>
        <n v="100265"/>
        <n v="100552"/>
        <n v="100935"/>
        <n v="100748"/>
        <n v="100546"/>
        <n v="100305"/>
        <n v="100593"/>
        <n v="100347"/>
        <n v="100815"/>
        <n v="100275"/>
        <n v="100781"/>
        <n v="100492"/>
        <n v="100527"/>
        <n v="100548"/>
        <n v="100914"/>
        <n v="100631"/>
        <n v="100652"/>
        <n v="100819"/>
        <n v="100853"/>
        <n v="100003"/>
        <n v="100980"/>
        <n v="100469"/>
        <n v="100848"/>
        <n v="100930"/>
        <n v="100061"/>
        <n v="100221"/>
        <n v="100261"/>
        <n v="100791"/>
        <n v="100314"/>
        <n v="100989"/>
        <n v="100690"/>
        <n v="100952"/>
        <n v="100338"/>
        <n v="100181"/>
        <n v="100044"/>
        <n v="100685"/>
        <n v="100006"/>
        <n v="100663"/>
        <n v="100412"/>
        <n v="100767"/>
        <n v="100145"/>
        <n v="100830"/>
        <n v="100510"/>
        <n v="100770"/>
        <n v="100282"/>
        <n v="100635"/>
        <n v="100735"/>
        <n v="100917"/>
        <n v="100149"/>
        <n v="100671"/>
        <n v="100939"/>
        <n v="100993"/>
        <n v="100147"/>
        <n v="100143"/>
        <n v="100704"/>
        <n v="100847"/>
        <n v="100443"/>
        <n v="100258"/>
        <n v="100123"/>
        <n v="100673"/>
        <n v="100425"/>
        <n v="100272"/>
        <n v="100713"/>
        <n v="100874"/>
        <n v="100866"/>
        <n v="100949"/>
        <n v="100906"/>
        <n v="100754"/>
        <n v="100475"/>
        <n v="100843"/>
        <n v="100172"/>
        <n v="100488"/>
        <n v="100462"/>
        <n v="100749"/>
        <n v="100257"/>
        <n v="100858"/>
        <n v="100968"/>
        <n v="100292"/>
        <n v="100625"/>
        <n v="100602"/>
        <n v="100309"/>
        <n v="100898"/>
        <n v="100636"/>
        <n v="100243"/>
        <n v="100810"/>
        <n v="100238"/>
        <n v="100724"/>
        <n v="100682"/>
        <n v="100156"/>
        <n v="100852"/>
        <n v="100622"/>
        <n v="100499"/>
        <n v="100176"/>
        <n v="100286"/>
        <n v="100101"/>
        <n v="100366"/>
        <n v="100125"/>
        <n v="100942"/>
        <n v="100414"/>
        <n v="100575"/>
        <n v="100751"/>
        <n v="100028"/>
        <n v="100246"/>
        <n v="100741"/>
        <n v="100168"/>
        <n v="100024"/>
        <n v="100037"/>
        <n v="100154"/>
        <n v="100719"/>
        <n v="100947"/>
        <n v="100085"/>
        <n v="100903"/>
        <n v="100262"/>
        <n v="100734"/>
        <n v="100612"/>
        <n v="100239"/>
        <n v="100461"/>
        <n v="100200"/>
        <n v="100315"/>
        <n v="100152"/>
        <n v="100436"/>
        <n v="100727"/>
        <n v="100009"/>
        <n v="100054"/>
        <n v="100121"/>
        <n v="100362"/>
        <n v="100803"/>
        <n v="100259"/>
        <n v="100974"/>
        <n v="100224"/>
        <n v="100529"/>
        <n v="100731"/>
        <n v="100192"/>
        <n v="100621"/>
        <n v="100421"/>
        <n v="100800"/>
        <n v="100745"/>
        <n v="100298"/>
        <n v="100229"/>
        <n v="100124"/>
        <n v="100703"/>
        <n v="100248"/>
        <n v="100206"/>
        <n v="100861"/>
        <n v="100525"/>
        <n v="100489"/>
        <n v="100766"/>
        <n v="100877"/>
        <n v="100875"/>
        <n v="100725"/>
        <n v="100677"/>
        <n v="100177"/>
        <n v="100391"/>
        <n v="100164"/>
        <n v="100709"/>
        <n v="100870"/>
        <n v="100251"/>
        <n v="100476"/>
        <n v="100062"/>
        <n v="100456"/>
        <n v="100107"/>
        <n v="100344"/>
        <n v="100481"/>
        <n v="100108"/>
        <n v="100519"/>
        <n v="100477"/>
        <n v="100826"/>
        <n v="100500"/>
        <n v="100723"/>
        <n v="100392"/>
        <n v="100058"/>
        <n v="100742"/>
        <n v="100099"/>
        <n v="100069"/>
        <n v="100933"/>
        <n v="100110"/>
        <n v="100893"/>
        <n v="100506"/>
        <n v="100350"/>
        <n v="100249"/>
        <n v="100501"/>
        <n v="100643"/>
        <n v="100530"/>
        <n v="100071"/>
        <n v="100016"/>
        <n v="100209"/>
        <n v="100916"/>
        <n v="100961"/>
        <n v="100743"/>
        <n v="100620"/>
        <n v="100289"/>
        <n v="100678"/>
        <n v="100567"/>
        <n v="100389"/>
        <n v="100381"/>
        <n v="100386"/>
        <n v="100722"/>
        <n v="100755"/>
        <n v="100413"/>
        <n v="100060"/>
        <n v="100231"/>
        <n v="100945"/>
        <n v="100013"/>
        <n v="100545"/>
        <n v="100001"/>
        <n v="100416"/>
        <n v="100940"/>
        <n v="100689"/>
        <n v="100458"/>
        <n v="100672"/>
        <n v="100880"/>
        <n v="100130"/>
        <n v="100733"/>
        <n v="100533"/>
        <n v="100440"/>
        <n v="100011"/>
        <n v="100746"/>
        <n v="100894"/>
        <n v="100343"/>
        <n v="100183"/>
        <n v="100642"/>
        <n v="100106"/>
        <n v="100738"/>
        <n v="100022"/>
        <n v="100576"/>
        <n v="100549"/>
        <n v="100656"/>
        <n v="100460"/>
        <n v="100328"/>
        <n v="100539"/>
        <n v="100551"/>
        <n v="100951"/>
        <n v="100998"/>
        <n v="100378"/>
        <n v="100312"/>
        <n v="100411"/>
        <n v="100905"/>
        <n v="100304"/>
        <n v="100900"/>
        <n v="100441"/>
        <n v="100962"/>
        <n v="100801"/>
        <n v="100554"/>
        <n v="100659"/>
        <n v="100696"/>
        <n v="100352"/>
        <n v="100397"/>
        <n v="100325"/>
        <n v="100324"/>
        <n v="100280"/>
        <n v="100112"/>
        <n v="100542"/>
        <n v="100039"/>
        <n v="100603"/>
        <n v="100716"/>
        <n v="100450"/>
        <n v="100698"/>
        <n v="100025"/>
        <n v="100169"/>
        <n v="100966"/>
        <n v="100480"/>
        <n v="100594"/>
        <n v="100729"/>
        <n v="100383"/>
        <n v="100296"/>
        <n v="100838"/>
        <n v="100588"/>
        <n v="100932"/>
        <n v="100137"/>
        <n v="100867"/>
        <n v="100910"/>
        <n v="100948"/>
        <n v="100531"/>
        <n v="100775"/>
        <n v="100829"/>
        <n v="100068"/>
        <n v="100681"/>
        <n v="100633"/>
        <n v="100629"/>
        <n v="100658"/>
        <n v="100540"/>
        <n v="100832"/>
        <n v="100586"/>
        <n v="100855"/>
        <n v="100686"/>
        <n v="100030"/>
        <n v="100960"/>
        <n v="100872"/>
        <n v="100403"/>
        <n v="100393"/>
        <n v="100784"/>
        <n v="100197"/>
        <n v="100923"/>
        <n v="100908"/>
        <n v="100095"/>
        <n v="100760"/>
        <n v="100495"/>
        <n v="100237"/>
        <n v="100474"/>
        <n v="100122"/>
        <n v="100283"/>
        <n v="100210"/>
        <n v="100790"/>
        <n v="100706"/>
        <n v="100268"/>
        <n v="100138"/>
        <n v="100986"/>
        <n v="100375"/>
        <n v="100072"/>
        <n v="100528"/>
        <n v="100255"/>
        <n v="100089"/>
        <n v="100148"/>
        <n v="100515"/>
        <n v="100031"/>
        <n v="100899"/>
        <n v="100153"/>
        <n v="100664"/>
        <n v="100941"/>
        <n v="100927"/>
        <n v="100422"/>
        <n v="100388"/>
        <n v="100056"/>
        <n v="100782"/>
        <n v="100307"/>
        <n v="100665"/>
        <n v="100052"/>
        <n v="100732"/>
        <n v="100074"/>
        <n v="100346"/>
        <n v="100036"/>
        <n v="100120"/>
        <n v="100919"/>
        <n v="100596"/>
        <n v="100721"/>
        <n v="100160"/>
        <n v="100379"/>
        <n v="100937"/>
        <n v="100740"/>
        <n v="100372"/>
        <n v="100377"/>
        <n v="100015"/>
        <n v="100753"/>
        <n v="100190"/>
        <n v="100824"/>
        <n v="100773"/>
        <n v="100466"/>
        <n v="100091"/>
        <n v="100778"/>
        <n v="100649"/>
        <n v="100744"/>
        <n v="100208"/>
        <n v="100330"/>
        <n v="100888"/>
        <n v="100081"/>
        <n v="100958"/>
        <n v="100517"/>
        <n v="100718"/>
        <n v="100886"/>
        <n v="100604"/>
        <n v="100599"/>
        <n v="100446"/>
        <n v="100180"/>
        <n v="100739"/>
        <n v="100761"/>
        <n v="100783"/>
        <n v="100363"/>
        <n v="100869"/>
        <n v="100818"/>
        <n v="100340"/>
        <n v="100785"/>
        <n v="100569"/>
        <n v="100691"/>
        <n v="100211"/>
        <n v="100230"/>
        <n v="100270"/>
        <n v="100235"/>
        <n v="100705"/>
        <n v="100351"/>
        <n v="100267"/>
        <n v="100447"/>
        <n v="100083"/>
        <n v="100503"/>
        <n v="100088"/>
        <n v="100032"/>
        <n v="100645"/>
        <n v="100478"/>
        <n v="100451"/>
        <n v="100144"/>
        <n v="100225"/>
        <n v="100537"/>
        <n v="100444"/>
        <n v="100417"/>
        <n v="100228"/>
        <n v="100543"/>
        <n v="100590"/>
        <n v="100341"/>
        <n v="100473"/>
        <n v="100573"/>
        <n v="100524"/>
        <n v="100640"/>
        <n v="100990"/>
        <n v="100242"/>
        <n v="100329"/>
        <n v="100647"/>
        <n v="100856"/>
        <n v="100445"/>
        <n v="100702"/>
        <n v="100605"/>
        <n v="100431"/>
        <n v="100827"/>
        <n v="100356"/>
        <n v="100067"/>
        <n v="100883"/>
        <n v="100274"/>
        <n v="100521"/>
        <n v="100151"/>
        <n v="100428"/>
        <n v="100581"/>
        <n v="100750"/>
        <n v="100532"/>
        <n v="100920"/>
        <n v="100007"/>
        <n v="100189"/>
        <n v="100928"/>
        <n v="100301"/>
        <n v="100563"/>
        <n v="100254"/>
        <n v="100049"/>
        <n v="100882"/>
        <n v="100795"/>
        <n v="100205"/>
        <n v="100041"/>
        <n v="100901"/>
        <n v="100465"/>
        <n v="100757"/>
        <n v="100155"/>
        <n v="100133"/>
        <n v="100281"/>
        <n v="100610"/>
        <n v="100857"/>
        <n v="100859"/>
        <n v="100970"/>
        <n v="100555"/>
        <n v="100616"/>
        <n v="100756"/>
        <n v="100313"/>
        <n v="100550"/>
        <n v="100578"/>
        <n v="100178"/>
        <n v="100646"/>
        <n v="100518"/>
        <n v="100306"/>
        <n v="100496"/>
        <n v="100439"/>
        <n v="100308"/>
        <n v="100115"/>
        <n v="100726"/>
        <n v="100321"/>
        <n v="100387"/>
        <n v="100302"/>
        <n v="100483"/>
        <n v="100644"/>
        <n v="100568"/>
        <n v="100424"/>
        <n v="100129"/>
        <n v="100334"/>
        <n v="100688"/>
        <n v="100159"/>
        <n v="100813"/>
        <n v="100482"/>
        <n v="100294"/>
        <n v="100117"/>
        <n v="100055"/>
        <n v="100862"/>
        <n v="100376"/>
        <n v="100104"/>
        <n v="100789"/>
        <n v="100026"/>
        <n v="100879"/>
        <n v="100765"/>
        <n v="100509"/>
        <n v="100662"/>
        <n v="100996"/>
        <n v="100114"/>
        <n v="100459"/>
        <n v="100087"/>
        <n v="100771"/>
        <n v="100584"/>
        <n v="100615"/>
        <n v="100840"/>
        <n v="100097"/>
        <n v="100641"/>
        <n v="100559"/>
        <n v="100002"/>
        <n v="100332"/>
        <n v="100198"/>
        <n v="100216"/>
        <n v="100410"/>
        <n v="100260"/>
        <n v="100256"/>
        <n v="100799"/>
        <n v="100572"/>
        <n v="100511"/>
        <n v="100385"/>
        <n v="100204"/>
        <n v="100863"/>
        <n v="100792"/>
        <n v="100427"/>
        <n v="100355"/>
        <n v="100203"/>
        <n v="100963"/>
        <n v="100010"/>
        <n v="100638"/>
        <n v="100865"/>
        <n v="100227"/>
        <n v="100217"/>
        <n v="100368"/>
        <n v="100076"/>
        <n v="100218"/>
        <n v="100924"/>
        <n v="100842"/>
        <n v="100878"/>
        <n v="100419"/>
        <n v="100774"/>
        <n v="100710"/>
        <n v="100976"/>
        <n v="100038"/>
        <n v="100508"/>
        <n v="100912"/>
        <n v="100985"/>
        <n v="100278"/>
        <n v="100161"/>
        <n v="100556"/>
        <n v="100558"/>
        <n v="100105"/>
        <n v="100066"/>
        <n v="100404"/>
        <n v="100988"/>
        <n v="100050"/>
        <n v="100193"/>
        <n v="100764"/>
        <n v="100065"/>
        <n v="100073"/>
        <n v="100850"/>
        <n v="100166"/>
        <n v="100836"/>
        <n v="100279"/>
        <n v="100285"/>
        <n v="100490"/>
        <n v="100811"/>
        <n v="100565"/>
        <n v="100380"/>
        <n v="100987"/>
        <n v="100222"/>
        <n v="100890"/>
        <n v="100971"/>
        <n v="100913"/>
        <n v="100269"/>
        <n v="100570"/>
        <n v="100079"/>
        <n v="100675"/>
        <n v="100931"/>
        <n v="100357"/>
        <n v="100046"/>
        <n v="100118"/>
        <n v="100714"/>
        <n v="100907"/>
        <n v="100457"/>
        <n v="100984"/>
        <n v="100438"/>
        <n v="100695"/>
        <n v="100845"/>
        <n v="100553"/>
        <n v="100384"/>
        <n v="100606"/>
        <n v="100983"/>
        <n v="100707"/>
        <n v="100331"/>
        <n v="100820"/>
        <n v="100098"/>
        <n v="100202"/>
        <n v="100579"/>
        <n v="100921"/>
        <n v="100252"/>
        <n v="100140"/>
        <n v="100752"/>
        <n v="100683"/>
        <n v="100199"/>
        <n v="100442"/>
        <n v="100957"/>
        <n v="100909"/>
        <n v="100950"/>
        <n v="100654"/>
        <n v="100977"/>
        <n v="100134"/>
        <n v="100991"/>
        <n v="100048"/>
        <n v="100119"/>
        <n v="100468"/>
        <n v="100220"/>
        <n v="100777"/>
        <n v="100796"/>
        <n v="100498"/>
        <n v="100290"/>
        <n v="100213"/>
        <n v="100472"/>
        <n v="100680"/>
        <n v="100936"/>
        <n v="100020"/>
        <n v="100929"/>
        <n v="100029"/>
        <n v="100670"/>
        <n v="100175"/>
        <n v="100816"/>
        <n v="100077"/>
        <n v="100995"/>
        <n v="100597"/>
        <n v="100277"/>
        <n v="100415"/>
        <n v="100997"/>
        <n v="100093"/>
        <n v="100167"/>
        <n v="100452"/>
        <n v="100219"/>
        <n v="100464"/>
        <n v="100844"/>
        <n v="100626"/>
        <n v="100264"/>
        <n v="100185"/>
        <n v="100513"/>
        <n v="100479"/>
        <n v="100333"/>
        <n v="100717"/>
        <n v="100354"/>
        <n v="100846"/>
        <n v="100598"/>
        <n v="100623"/>
        <n v="100398"/>
        <n v="100223"/>
        <n v="100271"/>
        <n v="100320"/>
        <n v="100982"/>
        <n v="100687"/>
        <n v="100758"/>
        <n v="100981"/>
        <n v="100884"/>
        <n v="100035"/>
        <n v="100157"/>
        <n v="100299"/>
        <n v="100326"/>
        <n v="100975"/>
        <n v="100353"/>
        <n v="100432"/>
        <n v="100618"/>
        <n v="100864"/>
        <n v="100661"/>
        <n v="100364"/>
        <n v="100367"/>
        <n v="100317"/>
        <n v="100080"/>
        <n v="100111"/>
        <n v="100504"/>
        <n v="100195"/>
        <n v="100019"/>
        <n v="100881"/>
        <n v="100851"/>
        <n v="100837"/>
        <n v="100505"/>
        <n v="100494"/>
        <n v="100179"/>
        <n v="100300"/>
        <n v="100318"/>
        <n v="100651"/>
        <n v="100979"/>
        <n v="100335"/>
        <n v="100946"/>
        <n v="100405"/>
        <n v="100762"/>
        <n v="100406"/>
        <n v="100692"/>
        <n v="100319"/>
        <n v="100938"/>
        <n v="100693"/>
        <n v="100582"/>
        <n v="100674"/>
        <n v="100967"/>
        <n v="100402"/>
        <n v="100142"/>
        <n v="100999"/>
        <n v="100053"/>
        <n v="100303"/>
        <n v="100109"/>
        <n v="100793"/>
        <n v="100585"/>
        <n v="100655"/>
        <n v="100116"/>
        <n v="100922"/>
        <n v="100619"/>
        <n v="100630"/>
        <n v="100779"/>
        <n v="100173"/>
        <n v="100394"/>
        <n v="100047"/>
        <n v="100613"/>
        <n v="100639"/>
        <n v="100589"/>
        <n v="100560"/>
        <n v="100534"/>
        <n v="100564"/>
        <n v="100284"/>
        <n v="100327"/>
        <n v="100769"/>
        <n v="100679"/>
        <n v="100004"/>
        <n v="100146"/>
        <n v="100084"/>
        <n v="100737"/>
        <n v="100873"/>
        <n v="100601"/>
        <n v="100955"/>
        <n v="100467"/>
        <n v="100896"/>
        <n v="100538"/>
        <n v="100892"/>
        <n v="100809"/>
        <n v="100000"/>
        <n v="100944"/>
        <n v="100776"/>
        <n v="100627"/>
        <n v="100973"/>
        <n v="100763"/>
        <n v="100969"/>
        <n v="100051"/>
        <n v="100512"/>
        <n v="100429"/>
        <n v="100943"/>
        <n v="100082"/>
        <n v="100839"/>
        <n v="100768"/>
        <n v="100059"/>
        <n v="100788"/>
        <n v="100273"/>
        <n v="100814"/>
        <n v="100276"/>
        <n v="100021"/>
        <n v="100034"/>
        <n v="100311"/>
        <n v="100336"/>
        <n v="100253"/>
        <n v="100825"/>
        <n v="100520"/>
        <n v="100358"/>
        <n v="100891"/>
        <n v="100805"/>
        <n v="100008"/>
        <n v="100849"/>
        <n v="100592"/>
        <n v="100165"/>
        <n v="100634"/>
        <n v="100835"/>
        <n v="100834"/>
        <n v="100463"/>
        <n v="100191"/>
        <n v="100965"/>
        <n v="100365"/>
        <n v="100648"/>
        <n v="100711"/>
        <n v="100171"/>
        <n v="100226"/>
        <n v="100628"/>
        <n v="100736"/>
        <n v="100455"/>
        <n v="100435"/>
        <n v="100666"/>
        <n v="100926"/>
        <n v="100485"/>
        <n v="100562"/>
        <n v="100486"/>
        <n v="100131"/>
        <n v="100728"/>
        <n v="100448"/>
        <n v="100126"/>
        <n v="100780"/>
        <n v="100070"/>
        <n v="100953"/>
        <n v="100804"/>
        <n v="100433"/>
        <n v="100295"/>
        <n v="100684"/>
        <n v="100420"/>
      </sharedItems>
    </cacheField>
    <cacheField name="Order_Date" numFmtId="164">
      <sharedItems containsSemiMixedTypes="0" containsNonDate="0" containsDate="1" containsString="0" minDate="2024-01-01T00:00:00" maxDate="2025-01-01T00:00:00" count="340">
        <d v="2024-12-31T00:00:00"/>
        <d v="2024-12-29T00:00:00"/>
        <d v="2024-12-28T00:00:00"/>
        <d v="2024-12-27T00:00:00"/>
        <d v="2024-12-26T00:00:00"/>
        <d v="2024-12-24T00:00:00"/>
        <d v="2024-12-23T00:00:00"/>
        <d v="2024-12-19T00:00:00"/>
        <d v="2024-12-18T00:00:00"/>
        <d v="2024-12-17T00:00:00"/>
        <d v="2024-12-11T00:00:00"/>
        <d v="2024-12-07T00:00:00"/>
        <d v="2024-12-06T00:00:00"/>
        <d v="2024-12-04T00:00:00"/>
        <d v="2024-11-26T00:00:00"/>
        <d v="2024-11-25T00:00:00"/>
        <d v="2024-11-23T00:00:00"/>
        <d v="2024-11-16T00:00:00"/>
        <d v="2024-11-15T00:00:00"/>
        <d v="2024-11-14T00:00:00"/>
        <d v="2024-11-13T00:00:00"/>
        <d v="2024-11-11T00:00:00"/>
        <d v="2024-11-06T00:00:00"/>
        <d v="2024-11-04T00:00:00"/>
        <d v="2024-11-03T00:00:00"/>
        <d v="2024-11-02T00:00:00"/>
        <d v="2024-10-29T00:00:00"/>
        <d v="2024-10-27T00:00:00"/>
        <d v="2024-10-24T00:00:00"/>
        <d v="2024-10-21T00:00:00"/>
        <d v="2024-10-20T00:00:00"/>
        <d v="2024-10-17T00:00:00"/>
        <d v="2024-10-15T00:00:00"/>
        <d v="2024-10-12T00:00:00"/>
        <d v="2024-10-08T00:00:00"/>
        <d v="2024-10-06T00:00:00"/>
        <d v="2024-10-03T00:00:00"/>
        <d v="2024-10-02T00:00:00"/>
        <d v="2024-09-29T00:00:00"/>
        <d v="2024-09-28T00:00:00"/>
        <d v="2024-09-24T00:00:00"/>
        <d v="2024-09-22T00:00:00"/>
        <d v="2024-09-20T00:00:00"/>
        <d v="2024-09-17T00:00:00"/>
        <d v="2024-09-16T00:00:00"/>
        <d v="2024-09-15T00:00:00"/>
        <d v="2024-09-14T00:00:00"/>
        <d v="2024-09-09T00:00:00"/>
        <d v="2024-09-06T00:00:00"/>
        <d v="2024-09-05T00:00:00"/>
        <d v="2024-09-02T00:00:00"/>
        <d v="2024-08-29T00:00:00"/>
        <d v="2024-08-27T00:00:00"/>
        <d v="2024-08-25T00:00:00"/>
        <d v="2024-08-24T00:00:00"/>
        <d v="2024-08-22T00:00:00"/>
        <d v="2024-08-21T00:00:00"/>
        <d v="2024-08-20T00:00:00"/>
        <d v="2024-08-19T00:00:00"/>
        <d v="2024-08-18T00:00:00"/>
        <d v="2024-08-16T00:00:00"/>
        <d v="2024-08-14T00:00:00"/>
        <d v="2024-08-12T00:00:00"/>
        <d v="2024-08-10T00:00:00"/>
        <d v="2024-08-08T00:00:00"/>
        <d v="2024-08-07T00:00:00"/>
        <d v="2024-08-05T00:00:00"/>
        <d v="2024-08-04T00:00:00"/>
        <d v="2024-08-03T00:00:00"/>
        <d v="2024-08-02T00:00:00"/>
        <d v="2024-08-01T00:00:00"/>
        <d v="2024-07-31T00:00:00"/>
        <d v="2024-07-29T00:00:00"/>
        <d v="2024-07-28T00:00:00"/>
        <d v="2024-07-25T00:00:00"/>
        <d v="2024-07-23T00:00:00"/>
        <d v="2024-07-21T00:00:00"/>
        <d v="2024-07-18T00:00:00"/>
        <d v="2024-07-17T00:00:00"/>
        <d v="2024-07-10T00:00:00"/>
        <d v="2024-07-08T00:00:00"/>
        <d v="2024-07-07T00:00:00"/>
        <d v="2024-07-06T00:00:00"/>
        <d v="2024-07-05T00:00:00"/>
        <d v="2024-06-30T00:00:00"/>
        <d v="2024-06-28T00:00:00"/>
        <d v="2024-06-26T00:00:00"/>
        <d v="2024-06-23T00:00:00"/>
        <d v="2024-06-21T00:00:00"/>
        <d v="2024-06-19T00:00:00"/>
        <d v="2024-06-17T00:00:00"/>
        <d v="2024-06-13T00:00:00"/>
        <d v="2024-06-12T00:00:00"/>
        <d v="2024-06-11T00:00:00"/>
        <d v="2024-06-09T00:00:00"/>
        <d v="2024-06-08T00:00:00"/>
        <d v="2024-06-07T00:00:00"/>
        <d v="2024-06-04T00:00:00"/>
        <d v="2024-05-30T00:00:00"/>
        <d v="2024-05-29T00:00:00"/>
        <d v="2024-05-28T00:00:00"/>
        <d v="2024-05-24T00:00:00"/>
        <d v="2024-05-23T00:00:00"/>
        <d v="2024-05-20T00:00:00"/>
        <d v="2024-05-18T00:00:00"/>
        <d v="2024-05-17T00:00:00"/>
        <d v="2024-05-16T00:00:00"/>
        <d v="2024-05-14T00:00:00"/>
        <d v="2024-05-13T00:00:00"/>
        <d v="2024-05-10T00:00:00"/>
        <d v="2024-05-06T00:00:00"/>
        <d v="2024-05-04T00:00:00"/>
        <d v="2024-05-03T00:00:00"/>
        <d v="2024-05-02T00:00:00"/>
        <d v="2024-05-01T00:00:00"/>
        <d v="2024-04-30T00:00:00"/>
        <d v="2024-04-29T00:00:00"/>
        <d v="2024-04-27T00:00:00"/>
        <d v="2024-04-26T00:00:00"/>
        <d v="2024-04-24T00:00:00"/>
        <d v="2024-04-23T00:00:00"/>
        <d v="2024-04-20T00:00:00"/>
        <d v="2024-04-13T00:00:00"/>
        <d v="2024-04-12T00:00:00"/>
        <d v="2024-04-07T00:00:00"/>
        <d v="2024-04-02T00:00:00"/>
        <d v="2024-04-01T00:00:00"/>
        <d v="2024-03-30T00:00:00"/>
        <d v="2024-03-26T00:00:00"/>
        <d v="2024-03-24T00:00:00"/>
        <d v="2024-03-23T00:00:00"/>
        <d v="2024-03-21T00:00:00"/>
        <d v="2024-03-20T00:00:00"/>
        <d v="2024-03-19T00:00:00"/>
        <d v="2024-03-18T00:00:00"/>
        <d v="2024-03-17T00:00:00"/>
        <d v="2024-03-14T00:00:00"/>
        <d v="2024-03-13T00:00:00"/>
        <d v="2024-03-11T00:00:00"/>
        <d v="2024-03-07T00:00:00"/>
        <d v="2024-03-06T00:00:00"/>
        <d v="2024-03-05T00:00:00"/>
        <d v="2024-03-03T00:00:00"/>
        <d v="2024-03-01T00:00:00"/>
        <d v="2024-02-26T00:00:00"/>
        <d v="2024-02-24T00:00:00"/>
        <d v="2024-02-23T00:00:00"/>
        <d v="2024-02-19T00:00:00"/>
        <d v="2024-02-16T00:00:00"/>
        <d v="2024-02-13T00:00:00"/>
        <d v="2024-02-12T00:00:00"/>
        <d v="2024-02-09T00:00:00"/>
        <d v="2024-02-08T00:00:00"/>
        <d v="2024-02-06T00:00:00"/>
        <d v="2024-02-05T00:00:00"/>
        <d v="2024-02-03T00:00:00"/>
        <d v="2024-02-02T00:00:00"/>
        <d v="2024-01-30T00:00:00"/>
        <d v="2024-01-28T00:00:00"/>
        <d v="2024-01-27T00:00:00"/>
        <d v="2024-01-26T00:00:00"/>
        <d v="2024-01-25T00:00:00"/>
        <d v="2024-01-23T00:00:00"/>
        <d v="2024-01-22T00:00:00"/>
        <d v="2024-01-20T00:00:00"/>
        <d v="2024-01-18T00:00:00"/>
        <d v="2024-01-17T00:00:00"/>
        <d v="2024-01-16T00:00:00"/>
        <d v="2024-01-15T00:00:00"/>
        <d v="2024-01-14T00:00:00"/>
        <d v="2024-01-12T00:00:00"/>
        <d v="2024-01-10T00:00:00"/>
        <d v="2024-01-07T00:00:00"/>
        <d v="2024-01-06T00:00:00"/>
        <d v="2024-01-05T00:00:00"/>
        <d v="2024-01-03T00:00:00"/>
        <d v="2024-01-01T00:00:00"/>
        <d v="2024-12-25T00:00:00"/>
        <d v="2024-12-20T00:00:00"/>
        <d v="2024-12-15T00:00:00"/>
        <d v="2024-12-14T00:00:00"/>
        <d v="2024-12-10T00:00:00"/>
        <d v="2024-12-03T00:00:00"/>
        <d v="2024-11-30T00:00:00"/>
        <d v="2024-11-29T00:00:00"/>
        <d v="2024-11-28T00:00:00"/>
        <d v="2024-11-27T00:00:00"/>
        <d v="2024-11-21T00:00:00"/>
        <d v="2024-11-19T00:00:00"/>
        <d v="2024-11-18T00:00:00"/>
        <d v="2024-11-12T00:00:00"/>
        <d v="2024-11-05T00:00:00"/>
        <d v="2024-11-01T00:00:00"/>
        <d v="2024-10-19T00:00:00"/>
        <d v="2024-10-18T00:00:00"/>
        <d v="2024-10-09T00:00:00"/>
        <d v="2024-10-07T00:00:00"/>
        <d v="2024-10-05T00:00:00"/>
        <d v="2024-09-26T00:00:00"/>
        <d v="2024-09-25T00:00:00"/>
        <d v="2024-09-21T00:00:00"/>
        <d v="2024-09-18T00:00:00"/>
        <d v="2024-09-13T00:00:00"/>
        <d v="2024-09-11T00:00:00"/>
        <d v="2024-09-08T00:00:00"/>
        <d v="2024-09-03T00:00:00"/>
        <d v="2024-09-01T00:00:00"/>
        <d v="2024-08-30T00:00:00"/>
        <d v="2024-08-23T00:00:00"/>
        <d v="2024-08-11T00:00:00"/>
        <d v="2024-08-09T00:00:00"/>
        <d v="2024-08-06T00:00:00"/>
        <d v="2024-07-30T00:00:00"/>
        <d v="2024-07-27T00:00:00"/>
        <d v="2024-07-24T00:00:00"/>
        <d v="2024-07-22T00:00:00"/>
        <d v="2024-07-20T00:00:00"/>
        <d v="2024-07-19T00:00:00"/>
        <d v="2024-07-16T00:00:00"/>
        <d v="2024-07-15T00:00:00"/>
        <d v="2024-07-13T00:00:00"/>
        <d v="2024-07-12T00:00:00"/>
        <d v="2024-07-11T00:00:00"/>
        <d v="2024-07-04T00:00:00"/>
        <d v="2024-07-02T00:00:00"/>
        <d v="2024-06-29T00:00:00"/>
        <d v="2024-06-24T00:00:00"/>
        <d v="2024-06-22T00:00:00"/>
        <d v="2024-06-18T00:00:00"/>
        <d v="2024-06-16T00:00:00"/>
        <d v="2024-06-14T00:00:00"/>
        <d v="2024-06-10T00:00:00"/>
        <d v="2024-06-05T00:00:00"/>
        <d v="2024-06-03T00:00:00"/>
        <d v="2024-05-31T00:00:00"/>
        <d v="2024-05-27T00:00:00"/>
        <d v="2024-05-25T00:00:00"/>
        <d v="2024-05-22T00:00:00"/>
        <d v="2024-05-19T00:00:00"/>
        <d v="2024-05-15T00:00:00"/>
        <d v="2024-05-08T00:00:00"/>
        <d v="2024-05-07T00:00:00"/>
        <d v="2024-04-21T00:00:00"/>
        <d v="2024-04-15T00:00:00"/>
        <d v="2024-04-14T00:00:00"/>
        <d v="2024-04-11T00:00:00"/>
        <d v="2024-04-08T00:00:00"/>
        <d v="2024-04-05T00:00:00"/>
        <d v="2024-04-03T00:00:00"/>
        <d v="2024-03-27T00:00:00"/>
        <d v="2024-03-25T00:00:00"/>
        <d v="2024-03-22T00:00:00"/>
        <d v="2024-03-16T00:00:00"/>
        <d v="2024-03-15T00:00:00"/>
        <d v="2024-03-08T00:00:00"/>
        <d v="2024-03-04T00:00:00"/>
        <d v="2024-03-02T00:00:00"/>
        <d v="2024-02-27T00:00:00"/>
        <d v="2024-02-22T00:00:00"/>
        <d v="2024-02-21T00:00:00"/>
        <d v="2024-02-20T00:00:00"/>
        <d v="2024-02-18T00:00:00"/>
        <d v="2024-02-14T00:00:00"/>
        <d v="2024-02-07T00:00:00"/>
        <d v="2024-01-31T00:00:00"/>
        <d v="2024-01-24T00:00:00"/>
        <d v="2024-01-21T00:00:00"/>
        <d v="2024-01-19T00:00:00"/>
        <d v="2024-01-13T00:00:00"/>
        <d v="2024-01-11T00:00:00"/>
        <d v="2024-01-04T00:00:00"/>
        <d v="2024-01-02T00:00:00"/>
        <d v="2024-12-21T00:00:00"/>
        <d v="2024-12-13T00:00:00"/>
        <d v="2024-12-05T00:00:00"/>
        <d v="2024-12-01T00:00:00"/>
        <d v="2024-11-24T00:00:00"/>
        <d v="2024-11-17T00:00:00"/>
        <d v="2024-11-09T00:00:00"/>
        <d v="2024-11-07T00:00:00"/>
        <d v="2024-10-31T00:00:00"/>
        <d v="2024-10-30T00:00:00"/>
        <d v="2024-10-26T00:00:00"/>
        <d v="2024-10-22T00:00:00"/>
        <d v="2024-10-16T00:00:00"/>
        <d v="2024-10-14T00:00:00"/>
        <d v="2024-10-01T00:00:00"/>
        <d v="2024-09-30T00:00:00"/>
        <d v="2024-09-23T00:00:00"/>
        <d v="2024-09-10T00:00:00"/>
        <d v="2024-09-04T00:00:00"/>
        <d v="2024-08-28T00:00:00"/>
        <d v="2024-08-15T00:00:00"/>
        <d v="2024-08-13T00:00:00"/>
        <d v="2024-07-14T00:00:00"/>
        <d v="2024-07-03T00:00:00"/>
        <d v="2024-06-27T00:00:00"/>
        <d v="2024-06-20T00:00:00"/>
        <d v="2024-06-06T00:00:00"/>
        <d v="2024-06-01T00:00:00"/>
        <d v="2024-05-21T00:00:00"/>
        <d v="2024-04-28T00:00:00"/>
        <d v="2024-04-22T00:00:00"/>
        <d v="2024-04-18T00:00:00"/>
        <d v="2024-04-17T00:00:00"/>
        <d v="2024-04-16T00:00:00"/>
        <d v="2024-04-10T00:00:00"/>
        <d v="2024-04-06T00:00:00"/>
        <d v="2024-04-04T00:00:00"/>
        <d v="2024-03-09T00:00:00"/>
        <d v="2024-02-29T00:00:00"/>
        <d v="2024-02-25T00:00:00"/>
        <d v="2024-02-15T00:00:00"/>
        <d v="2024-02-04T00:00:00"/>
        <d v="2024-02-01T00:00:00"/>
        <d v="2024-01-09T00:00:00"/>
        <d v="2024-01-08T00:00:00"/>
        <d v="2024-12-30T00:00:00"/>
        <d v="2024-12-22T00:00:00"/>
        <d v="2024-12-09T00:00:00"/>
        <d v="2024-12-08T00:00:00"/>
        <d v="2024-11-10T00:00:00"/>
        <d v="2024-10-28T00:00:00"/>
        <d v="2024-09-27T00:00:00"/>
        <d v="2024-09-19T00:00:00"/>
        <d v="2024-09-07T00:00:00"/>
        <d v="2024-08-17T00:00:00"/>
        <d v="2024-07-26T00:00:00"/>
        <d v="2024-06-25T00:00:00"/>
        <d v="2024-06-02T00:00:00"/>
        <d v="2024-05-26T00:00:00"/>
        <d v="2024-05-11T00:00:00"/>
        <d v="2024-04-19T00:00:00"/>
        <d v="2024-04-09T00:00:00"/>
        <d v="2024-03-29T00:00:00"/>
        <d v="2024-03-28T00:00:00"/>
        <d v="2024-03-12T00:00:00"/>
        <d v="2024-03-10T00:00:00"/>
        <d v="2024-02-28T00:00:00"/>
        <d v="2024-01-29T00:00:00"/>
      </sharedItems>
      <fieldGroup par="14"/>
    </cacheField>
    <cacheField name="Ship_Date" numFmtId="164">
      <sharedItems containsSemiMixedTypes="0" containsNonDate="0" containsDate="1" containsString="0" minDate="2024-01-03T00:00:00" maxDate="2024-01-12T00:00:00"/>
    </cacheField>
    <cacheField name="Customer_ID" numFmtId="0">
      <sharedItems count="291">
        <s v="C1084"/>
        <s v="C1120"/>
        <s v="C1051"/>
        <s v="C1169"/>
        <s v="C1194"/>
        <s v="C1241"/>
        <s v="C1107"/>
        <s v="C1293"/>
        <s v="C1234"/>
        <s v="C1191"/>
        <s v="C1130"/>
        <s v="C1247"/>
        <s v="C1009"/>
        <s v="C1237"/>
        <s v="C1176"/>
        <s v="C1211"/>
        <s v="C1250"/>
        <s v="C1066"/>
        <s v="C1195"/>
        <s v="C1100"/>
        <s v="C1004"/>
        <s v="C1090"/>
        <s v="C1046"/>
        <s v="C1053"/>
        <s v="C1239"/>
        <s v="C1267"/>
        <s v="C1220"/>
        <s v="C1265"/>
        <s v="C1007"/>
        <s v="C1057"/>
        <s v="C1165"/>
        <s v="C1110"/>
        <s v="C1124"/>
        <s v="C1131"/>
        <s v="C1183"/>
        <s v="C1118"/>
        <s v="C1146"/>
        <s v="C1213"/>
        <s v="C1025"/>
        <s v="C1278"/>
        <s v="C1134"/>
        <s v="C1150"/>
        <s v="C1087"/>
        <s v="C1245"/>
        <s v="C1079"/>
        <s v="C1013"/>
        <s v="C1036"/>
        <s v="C1109"/>
        <s v="C1089"/>
        <s v="C1190"/>
        <s v="C1175"/>
        <s v="C1136"/>
        <s v="C1058"/>
        <s v="C1186"/>
        <s v="C1099"/>
        <s v="C1196"/>
        <s v="C1253"/>
        <s v="C1141"/>
        <s v="C1153"/>
        <s v="C1222"/>
        <s v="C1230"/>
        <s v="C1198"/>
        <s v="C1181"/>
        <s v="C1029"/>
        <s v="C1021"/>
        <s v="C1154"/>
        <s v="C1016"/>
        <s v="C1115"/>
        <s v="C1122"/>
        <s v="C1083"/>
        <s v="C1208"/>
        <s v="C1094"/>
        <s v="C1059"/>
        <s v="C1041"/>
        <s v="C1179"/>
        <s v="C1296"/>
        <s v="C1139"/>
        <s v="C1223"/>
        <s v="C1168"/>
        <s v="C1299"/>
        <s v="C1216"/>
        <s v="C1206"/>
        <s v="C1286"/>
        <s v="C1219"/>
        <s v="C1114"/>
        <s v="C1218"/>
        <s v="C1011"/>
        <s v="C1298"/>
        <s v="C1078"/>
        <s v="C1157"/>
        <s v="C1281"/>
        <s v="C1276"/>
        <s v="C1189"/>
        <s v="C1001"/>
        <s v="C1014"/>
        <s v="C1062"/>
        <s v="C1258"/>
        <s v="C1243"/>
        <s v="C1047"/>
        <s v="C1117"/>
        <s v="C1209"/>
        <s v="C1080"/>
        <s v="C1262"/>
        <s v="C1113"/>
        <s v="C1266"/>
        <s v="C1138"/>
        <s v="C1182"/>
        <s v="C1003"/>
        <s v="C1200"/>
        <s v="C1161"/>
        <s v="C1070"/>
        <s v="C1289"/>
        <s v="C1255"/>
        <s v="C1095"/>
        <s v="C1044"/>
        <s v="C1274"/>
        <s v="C1119"/>
        <s v="C1224"/>
        <s v="C1112"/>
        <s v="C1159"/>
        <s v="C1082"/>
        <s v="C1166"/>
        <s v="C1005"/>
        <s v="C1032"/>
        <s v="C1294"/>
        <s v="C1232"/>
        <s v="C1137"/>
        <s v="C1215"/>
        <s v="C1052"/>
        <s v="C1257"/>
        <s v="C1092"/>
        <s v="C1155"/>
        <s v="C1210"/>
        <s v="C1012"/>
        <s v="C1260"/>
        <s v="C1088"/>
        <s v="C1284"/>
        <s v="C1188"/>
        <s v="C1101"/>
        <s v="C1272"/>
        <s v="C1055"/>
        <s v="C1002"/>
        <s v="C1069"/>
        <s v="C1244"/>
        <s v="C1023"/>
        <s v="C1297"/>
        <s v="C1098"/>
        <s v="C1049"/>
        <s v="C1033"/>
        <s v="C1171"/>
        <s v="C1010"/>
        <s v="C1263"/>
        <s v="C1093"/>
        <s v="C1135"/>
        <s v="C1292"/>
        <s v="C1054"/>
        <s v="C1019"/>
        <s v="C1205"/>
        <s v="C1178"/>
        <s v="C1073"/>
        <s v="C1140"/>
        <s v="C1151"/>
        <s v="C1167"/>
        <s v="C1040"/>
        <s v="C1074"/>
        <s v="C1238"/>
        <s v="C1233"/>
        <s v="C1063"/>
        <s v="C1180"/>
        <s v="C1027"/>
        <s v="C1187"/>
        <s v="C1030"/>
        <s v="C1028"/>
        <s v="C1008"/>
        <s v="C1097"/>
        <s v="C1048"/>
        <s v="C1185"/>
        <s v="C1018"/>
        <s v="C1295"/>
        <s v="C1102"/>
        <s v="C1277"/>
        <s v="C1042"/>
        <s v="C1022"/>
        <s v="C1075"/>
        <s v="C1282"/>
        <s v="C1126"/>
        <s v="C1103"/>
        <s v="C1149"/>
        <s v="C1248"/>
        <s v="C1229"/>
        <s v="C1204"/>
        <s v="C1291"/>
        <s v="C1254"/>
        <s v="C1288"/>
        <s v="C1242"/>
        <s v="C1269"/>
        <s v="C1039"/>
        <s v="C1105"/>
        <s v="C1081"/>
        <s v="C1280"/>
        <s v="C1287"/>
        <s v="C1201"/>
        <s v="C1106"/>
        <s v="C1037"/>
        <s v="C1264"/>
        <s v="C1144"/>
        <s v="C1125"/>
        <s v="C1020"/>
        <s v="C1091"/>
        <s v="C1283"/>
        <s v="C1193"/>
        <s v="C1221"/>
        <s v="C1072"/>
        <s v="C1060"/>
        <s v="C1077"/>
        <s v="C1252"/>
        <s v="C1006"/>
        <s v="C1128"/>
        <s v="C1076"/>
        <s v="C1031"/>
        <s v="C1132"/>
        <s v="C1271"/>
        <s v="C1064"/>
        <s v="C1270"/>
        <s v="C1174"/>
        <s v="C1116"/>
        <s v="C1226"/>
        <s v="C1111"/>
        <s v="C1199"/>
        <s v="C1068"/>
        <s v="C1067"/>
        <s v="C1096"/>
        <s v="C1177"/>
        <s v="C1158"/>
        <s v="C1227"/>
        <s v="C1207"/>
        <s v="C1172"/>
        <s v="C1192"/>
        <s v="C1034"/>
        <s v="C1086"/>
        <s v="C1085"/>
        <s v="C1163"/>
        <s v="C1065"/>
        <s v="C1145"/>
        <s v="C1142"/>
        <s v="C1050"/>
        <s v="C1045"/>
        <s v="C1249"/>
        <s v="C1202"/>
        <s v="C1127"/>
        <s v="C1148"/>
        <s v="C1038"/>
        <s v="C1160"/>
        <s v="C1203"/>
        <s v="C1225"/>
        <s v="C1212"/>
        <s v="C1285"/>
        <s v="C1017"/>
        <s v="C1279"/>
        <s v="C1259"/>
        <s v="C1246"/>
        <s v="C1061"/>
        <s v="C1123"/>
        <s v="C1000"/>
        <s v="C1273"/>
        <s v="C1162"/>
        <s v="C1235"/>
        <s v="C1143"/>
        <s v="C1133"/>
        <s v="C1197"/>
        <s v="C1121"/>
        <s v="C1108"/>
        <s v="C1240"/>
        <s v="C1164"/>
        <s v="C1170"/>
        <s v="C1043"/>
        <s v="C1217"/>
        <s v="C1268"/>
        <s v="C1015"/>
        <s v="C1236"/>
        <s v="C1275"/>
        <s v="C1156"/>
        <s v="C1024"/>
        <s v="C1261"/>
        <s v="C1231"/>
        <s v="C1056"/>
        <s v="C1228"/>
        <s v="C1152"/>
        <s v="C1104"/>
        <s v="C1184"/>
        <s v="C1290"/>
      </sharedItems>
    </cacheField>
    <cacheField name="Product_ID" numFmtId="0">
      <sharedItems count="100">
        <s v="P527"/>
        <s v="P597"/>
        <s v="P550"/>
        <s v="P534"/>
        <s v="P585"/>
        <s v="P564"/>
        <s v="P594"/>
        <s v="P541"/>
        <s v="P542"/>
        <s v="P554"/>
        <s v="P556"/>
        <s v="P584"/>
        <s v="P522"/>
        <s v="P535"/>
        <s v="P520"/>
        <s v="P576"/>
        <s v="P536"/>
        <s v="P543"/>
        <s v="P563"/>
        <s v="P509"/>
        <s v="P505"/>
        <s v="P537"/>
        <s v="P566"/>
        <s v="P507"/>
        <s v="P517"/>
        <s v="P581"/>
        <s v="P519"/>
        <s v="P516"/>
        <s v="P538"/>
        <s v="P578"/>
        <s v="P587"/>
        <s v="P595"/>
        <s v="P553"/>
        <s v="P593"/>
        <s v="P583"/>
        <s v="P510"/>
        <s v="P512"/>
        <s v="P562"/>
        <s v="P572"/>
        <s v="P523"/>
        <s v="P551"/>
        <s v="P529"/>
        <s v="P560"/>
        <s v="P503"/>
        <s v="P532"/>
        <s v="P552"/>
        <s v="P579"/>
        <s v="P561"/>
        <s v="P590"/>
        <s v="P524"/>
        <s v="P506"/>
        <s v="P502"/>
        <s v="P515"/>
        <s v="P540"/>
        <s v="P559"/>
        <s v="P569"/>
        <s v="P591"/>
        <s v="P513"/>
        <s v="P521"/>
        <s v="P546"/>
        <s v="P530"/>
        <s v="P596"/>
        <s v="P577"/>
        <s v="P508"/>
        <s v="P549"/>
        <s v="P531"/>
        <s v="P501"/>
        <s v="P570"/>
        <s v="P545"/>
        <s v="P504"/>
        <s v="P548"/>
        <s v="P573"/>
        <s v="P586"/>
        <s v="P571"/>
        <s v="P599"/>
        <s v="P582"/>
        <s v="P558"/>
        <s v="P557"/>
        <s v="P592"/>
        <s v="P574"/>
        <s v="P555"/>
        <s v="P598"/>
        <s v="P575"/>
        <s v="P544"/>
        <s v="P568"/>
        <s v="P580"/>
        <s v="P528"/>
        <s v="P589"/>
        <s v="P526"/>
        <s v="P588"/>
        <s v="P514"/>
        <s v="P500"/>
        <s v="P565"/>
        <s v="P518"/>
        <s v="P511"/>
        <s v="P539"/>
        <s v="P525"/>
        <s v="P547"/>
        <s v="P533"/>
        <s v="P567"/>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203" maxValue="1999"/>
    </cacheField>
    <cacheField name="Discount (%)" numFmtId="0">
      <sharedItems containsSemiMixedTypes="0" containsString="0" containsNumber="1" containsInteger="1" minValue="0" maxValue="15"/>
    </cacheField>
    <cacheField name="Region" numFmtId="0">
      <sharedItems count="4">
        <s v="East"/>
        <s v="North"/>
        <s v="South"/>
        <s v="West"/>
      </sharedItems>
    </cacheField>
    <cacheField name="Payment_Mode" numFmtId="0">
      <sharedItems count="4">
        <s v="COD"/>
        <s v="NetBanking"/>
        <s v="Card"/>
        <s v="UPI"/>
      </sharedItems>
    </cacheField>
    <cacheField name="Gross Sales" numFmtId="0">
      <sharedItems containsSemiMixedTypes="0" containsString="0" containsNumber="1" containsInteger="1" minValue="209" maxValue="7984"/>
    </cacheField>
    <cacheField name="Net sales" numFmtId="0">
      <sharedItems containsSemiMixedTypes="0" containsString="0" containsNumber="1" containsInteger="1" minValue="-111496" maxValue="7968"/>
    </cacheField>
    <cacheField name="Discount Amount" numFmtId="0">
      <sharedItems containsSemiMixedTypes="0" containsString="0" containsNumber="1" containsInteger="1" minValue="0" maxValue="119460"/>
    </cacheField>
    <cacheField name="Days (Order_Date)" numFmtId="0" databaseField="0">
      <fieldGroup base="1">
        <rangePr groupBy="days" startDate="2024-01-01T00:00:00" endDate="2025-01-01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5"/>
        </groupItems>
      </fieldGroup>
    </cacheField>
    <cacheField name="Months (Order_Date)" numFmtId="0" databaseField="0">
      <fieldGroup base="1">
        <rangePr groupBy="months" startDate="2024-01-01T00:00:00" endDate="2025-01-01T00:00:00"/>
        <groupItems count="14">
          <s v="&lt;1/1/24"/>
          <s v="Jan"/>
          <s v="Feb"/>
          <s v="Mar"/>
          <s v="Apr"/>
          <s v="May"/>
          <s v="Jun"/>
          <s v="Jul"/>
          <s v="Aug"/>
          <s v="Sep"/>
          <s v="Oct"/>
          <s v="Nov"/>
          <s v="Dec"/>
          <s v="&gt;1/1/25"/>
        </groupItems>
      </fieldGroup>
    </cacheField>
  </cacheFields>
  <extLst>
    <ext xmlns:x14="http://schemas.microsoft.com/office/spreadsheetml/2009/9/main" uri="{725AE2AE-9491-48be-B2B4-4EB974FC3084}">
      <x14:pivotCacheDefinition pivotCacheId="1143239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d v="2024-01-07T00:00:00"/>
    <x v="0"/>
    <x v="0"/>
    <n v="4"/>
    <n v="583"/>
    <n v="2"/>
    <x v="0"/>
    <x v="0"/>
    <n v="2332"/>
    <n v="-2332"/>
    <n v="4664"/>
  </r>
  <r>
    <x v="1"/>
    <x v="1"/>
    <d v="2024-01-09T00:00:00"/>
    <x v="1"/>
    <x v="1"/>
    <n v="4"/>
    <n v="557"/>
    <n v="10"/>
    <x v="1"/>
    <x v="1"/>
    <n v="2228"/>
    <n v="-20052"/>
    <n v="22280"/>
  </r>
  <r>
    <x v="2"/>
    <x v="2"/>
    <d v="2024-01-09T00:00:00"/>
    <x v="2"/>
    <x v="2"/>
    <n v="4"/>
    <n v="1736"/>
    <n v="10"/>
    <x v="0"/>
    <x v="1"/>
    <n v="6944"/>
    <n v="-62496"/>
    <n v="69440"/>
  </r>
  <r>
    <x v="3"/>
    <x v="3"/>
    <d v="2024-01-08T00:00:00"/>
    <x v="3"/>
    <x v="3"/>
    <n v="4"/>
    <n v="943"/>
    <n v="10"/>
    <x v="0"/>
    <x v="1"/>
    <n v="3772"/>
    <n v="-33948"/>
    <n v="37720"/>
  </r>
  <r>
    <x v="4"/>
    <x v="4"/>
    <d v="2024-01-09T00:00:00"/>
    <x v="4"/>
    <x v="4"/>
    <n v="4"/>
    <n v="1811"/>
    <n v="15"/>
    <x v="2"/>
    <x v="0"/>
    <n v="7244"/>
    <n v="-101416"/>
    <n v="108660"/>
  </r>
  <r>
    <x v="5"/>
    <x v="5"/>
    <d v="2024-01-09T00:00:00"/>
    <x v="5"/>
    <x v="5"/>
    <n v="4"/>
    <n v="1396"/>
    <n v="10"/>
    <x v="3"/>
    <x v="0"/>
    <n v="5584"/>
    <n v="-50256"/>
    <n v="55840"/>
  </r>
  <r>
    <x v="6"/>
    <x v="6"/>
    <d v="2024-01-03T00:00:00"/>
    <x v="6"/>
    <x v="6"/>
    <n v="4"/>
    <n v="641"/>
    <n v="15"/>
    <x v="1"/>
    <x v="1"/>
    <n v="2564"/>
    <n v="-35896"/>
    <n v="38460"/>
  </r>
  <r>
    <x v="7"/>
    <x v="7"/>
    <d v="2024-01-03T00:00:00"/>
    <x v="7"/>
    <x v="7"/>
    <n v="4"/>
    <n v="430"/>
    <n v="15"/>
    <x v="2"/>
    <x v="1"/>
    <n v="1720"/>
    <n v="-24080"/>
    <n v="25800"/>
  </r>
  <r>
    <x v="8"/>
    <x v="8"/>
    <d v="2024-01-03T00:00:00"/>
    <x v="8"/>
    <x v="8"/>
    <n v="4"/>
    <n v="559"/>
    <n v="15"/>
    <x v="3"/>
    <x v="2"/>
    <n v="2236"/>
    <n v="-31304"/>
    <n v="33540"/>
  </r>
  <r>
    <x v="9"/>
    <x v="8"/>
    <d v="2024-01-05T00:00:00"/>
    <x v="9"/>
    <x v="9"/>
    <n v="4"/>
    <n v="1846"/>
    <n v="10"/>
    <x v="2"/>
    <x v="1"/>
    <n v="7384"/>
    <n v="-66456"/>
    <n v="73840"/>
  </r>
  <r>
    <x v="10"/>
    <x v="9"/>
    <d v="2024-01-06T00:00:00"/>
    <x v="10"/>
    <x v="10"/>
    <n v="4"/>
    <n v="1449"/>
    <n v="10"/>
    <x v="0"/>
    <x v="3"/>
    <n v="5796"/>
    <n v="-52164"/>
    <n v="57960"/>
  </r>
  <r>
    <x v="11"/>
    <x v="10"/>
    <d v="2024-01-06T00:00:00"/>
    <x v="11"/>
    <x v="11"/>
    <n v="4"/>
    <n v="964"/>
    <n v="10"/>
    <x v="1"/>
    <x v="1"/>
    <n v="3856"/>
    <n v="-34704"/>
    <n v="38560"/>
  </r>
  <r>
    <x v="12"/>
    <x v="11"/>
    <d v="2024-01-09T00:00:00"/>
    <x v="12"/>
    <x v="12"/>
    <n v="4"/>
    <n v="1479"/>
    <n v="5"/>
    <x v="2"/>
    <x v="1"/>
    <n v="5916"/>
    <n v="-23664"/>
    <n v="29580"/>
  </r>
  <r>
    <x v="13"/>
    <x v="12"/>
    <d v="2024-01-05T00:00:00"/>
    <x v="13"/>
    <x v="13"/>
    <n v="4"/>
    <n v="1675"/>
    <n v="15"/>
    <x v="0"/>
    <x v="2"/>
    <n v="6700"/>
    <n v="-93800"/>
    <n v="100500"/>
  </r>
  <r>
    <x v="14"/>
    <x v="12"/>
    <d v="2024-01-03T00:00:00"/>
    <x v="14"/>
    <x v="14"/>
    <n v="4"/>
    <n v="787"/>
    <n v="10"/>
    <x v="3"/>
    <x v="3"/>
    <n v="3148"/>
    <n v="-28332"/>
    <n v="31480"/>
  </r>
  <r>
    <x v="15"/>
    <x v="13"/>
    <d v="2024-01-06T00:00:00"/>
    <x v="15"/>
    <x v="15"/>
    <n v="4"/>
    <n v="1623"/>
    <n v="10"/>
    <x v="1"/>
    <x v="0"/>
    <n v="6492"/>
    <n v="-58428"/>
    <n v="64920"/>
  </r>
  <r>
    <x v="16"/>
    <x v="14"/>
    <d v="2024-01-06T00:00:00"/>
    <x v="16"/>
    <x v="16"/>
    <n v="4"/>
    <n v="1929"/>
    <n v="10"/>
    <x v="3"/>
    <x v="1"/>
    <n v="7716"/>
    <n v="-69444"/>
    <n v="77160"/>
  </r>
  <r>
    <x v="17"/>
    <x v="15"/>
    <d v="2024-01-03T00:00:00"/>
    <x v="17"/>
    <x v="17"/>
    <n v="4"/>
    <n v="367"/>
    <n v="0"/>
    <x v="3"/>
    <x v="3"/>
    <n v="1468"/>
    <n v="1468"/>
    <n v="0"/>
  </r>
  <r>
    <x v="18"/>
    <x v="16"/>
    <d v="2024-01-03T00:00:00"/>
    <x v="18"/>
    <x v="18"/>
    <n v="4"/>
    <n v="1944"/>
    <n v="0"/>
    <x v="0"/>
    <x v="3"/>
    <n v="7776"/>
    <n v="7776"/>
    <n v="0"/>
  </r>
  <r>
    <x v="19"/>
    <x v="16"/>
    <d v="2024-01-08T00:00:00"/>
    <x v="19"/>
    <x v="19"/>
    <n v="4"/>
    <n v="833"/>
    <n v="15"/>
    <x v="0"/>
    <x v="1"/>
    <n v="3332"/>
    <n v="-46648"/>
    <n v="49980"/>
  </r>
  <r>
    <x v="20"/>
    <x v="17"/>
    <d v="2024-01-08T00:00:00"/>
    <x v="20"/>
    <x v="20"/>
    <n v="4"/>
    <n v="1351"/>
    <n v="10"/>
    <x v="1"/>
    <x v="1"/>
    <n v="5404"/>
    <n v="-48636"/>
    <n v="54040"/>
  </r>
  <r>
    <x v="21"/>
    <x v="18"/>
    <d v="2024-01-05T00:00:00"/>
    <x v="21"/>
    <x v="16"/>
    <n v="4"/>
    <n v="1401"/>
    <n v="15"/>
    <x v="2"/>
    <x v="1"/>
    <n v="5604"/>
    <n v="-78456"/>
    <n v="84060"/>
  </r>
  <r>
    <x v="22"/>
    <x v="19"/>
    <d v="2024-01-04T00:00:00"/>
    <x v="22"/>
    <x v="21"/>
    <n v="4"/>
    <n v="881"/>
    <n v="0"/>
    <x v="3"/>
    <x v="3"/>
    <n v="3524"/>
    <n v="3524"/>
    <n v="0"/>
  </r>
  <r>
    <x v="23"/>
    <x v="20"/>
    <d v="2024-01-08T00:00:00"/>
    <x v="23"/>
    <x v="22"/>
    <n v="4"/>
    <n v="1575"/>
    <n v="15"/>
    <x v="1"/>
    <x v="2"/>
    <n v="6300"/>
    <n v="-88200"/>
    <n v="94500"/>
  </r>
  <r>
    <x v="24"/>
    <x v="21"/>
    <d v="2024-01-09T00:00:00"/>
    <x v="24"/>
    <x v="23"/>
    <n v="4"/>
    <n v="762"/>
    <n v="15"/>
    <x v="3"/>
    <x v="0"/>
    <n v="3048"/>
    <n v="-42672"/>
    <n v="45720"/>
  </r>
  <r>
    <x v="25"/>
    <x v="22"/>
    <d v="2024-01-04T00:00:00"/>
    <x v="25"/>
    <x v="24"/>
    <n v="4"/>
    <n v="621"/>
    <n v="0"/>
    <x v="0"/>
    <x v="0"/>
    <n v="2484"/>
    <n v="2484"/>
    <n v="0"/>
  </r>
  <r>
    <x v="26"/>
    <x v="23"/>
    <d v="2024-01-05T00:00:00"/>
    <x v="13"/>
    <x v="25"/>
    <n v="4"/>
    <n v="1715"/>
    <n v="15"/>
    <x v="3"/>
    <x v="2"/>
    <n v="6860"/>
    <n v="-96040"/>
    <n v="102900"/>
  </r>
  <r>
    <x v="27"/>
    <x v="23"/>
    <d v="2024-01-07T00:00:00"/>
    <x v="26"/>
    <x v="19"/>
    <n v="4"/>
    <n v="1685"/>
    <n v="15"/>
    <x v="1"/>
    <x v="3"/>
    <n v="6740"/>
    <n v="-94360"/>
    <n v="101100"/>
  </r>
  <r>
    <x v="28"/>
    <x v="23"/>
    <d v="2024-01-11T00:00:00"/>
    <x v="18"/>
    <x v="26"/>
    <n v="4"/>
    <n v="1608"/>
    <n v="0"/>
    <x v="1"/>
    <x v="2"/>
    <n v="6432"/>
    <n v="6432"/>
    <n v="0"/>
  </r>
  <r>
    <x v="29"/>
    <x v="24"/>
    <d v="2024-01-08T00:00:00"/>
    <x v="27"/>
    <x v="27"/>
    <n v="4"/>
    <n v="914"/>
    <n v="15"/>
    <x v="0"/>
    <x v="1"/>
    <n v="3656"/>
    <n v="-51184"/>
    <n v="54840"/>
  </r>
  <r>
    <x v="30"/>
    <x v="24"/>
    <d v="2024-01-06T00:00:00"/>
    <x v="28"/>
    <x v="28"/>
    <n v="4"/>
    <n v="1992"/>
    <n v="0"/>
    <x v="2"/>
    <x v="0"/>
    <n v="7968"/>
    <n v="7968"/>
    <n v="0"/>
  </r>
  <r>
    <x v="31"/>
    <x v="25"/>
    <d v="2024-01-04T00:00:00"/>
    <x v="29"/>
    <x v="29"/>
    <n v="4"/>
    <n v="1961"/>
    <n v="15"/>
    <x v="1"/>
    <x v="3"/>
    <n v="7844"/>
    <n v="-109816"/>
    <n v="117660"/>
  </r>
  <r>
    <x v="32"/>
    <x v="26"/>
    <d v="2024-01-07T00:00:00"/>
    <x v="30"/>
    <x v="30"/>
    <n v="4"/>
    <n v="455"/>
    <n v="0"/>
    <x v="3"/>
    <x v="0"/>
    <n v="1820"/>
    <n v="1820"/>
    <n v="0"/>
  </r>
  <r>
    <x v="33"/>
    <x v="27"/>
    <d v="2024-01-10T00:00:00"/>
    <x v="5"/>
    <x v="31"/>
    <n v="4"/>
    <n v="838"/>
    <n v="15"/>
    <x v="0"/>
    <x v="1"/>
    <n v="3352"/>
    <n v="-46928"/>
    <n v="50280"/>
  </r>
  <r>
    <x v="34"/>
    <x v="27"/>
    <d v="2024-01-03T00:00:00"/>
    <x v="31"/>
    <x v="32"/>
    <n v="4"/>
    <n v="849"/>
    <n v="15"/>
    <x v="0"/>
    <x v="3"/>
    <n v="3396"/>
    <n v="-47544"/>
    <n v="50940"/>
  </r>
  <r>
    <x v="35"/>
    <x v="28"/>
    <d v="2024-01-04T00:00:00"/>
    <x v="32"/>
    <x v="5"/>
    <n v="4"/>
    <n v="334"/>
    <n v="0"/>
    <x v="3"/>
    <x v="2"/>
    <n v="1336"/>
    <n v="1336"/>
    <n v="0"/>
  </r>
  <r>
    <x v="36"/>
    <x v="29"/>
    <d v="2024-01-08T00:00:00"/>
    <x v="33"/>
    <x v="33"/>
    <n v="4"/>
    <n v="352"/>
    <n v="5"/>
    <x v="2"/>
    <x v="3"/>
    <n v="1408"/>
    <n v="-5632"/>
    <n v="7040"/>
  </r>
  <r>
    <x v="37"/>
    <x v="30"/>
    <d v="2024-01-07T00:00:00"/>
    <x v="34"/>
    <x v="27"/>
    <n v="4"/>
    <n v="726"/>
    <n v="5"/>
    <x v="0"/>
    <x v="1"/>
    <n v="2904"/>
    <n v="-11616"/>
    <n v="14520"/>
  </r>
  <r>
    <x v="38"/>
    <x v="30"/>
    <d v="2024-01-11T00:00:00"/>
    <x v="35"/>
    <x v="32"/>
    <n v="4"/>
    <n v="1891"/>
    <n v="15"/>
    <x v="1"/>
    <x v="3"/>
    <n v="7564"/>
    <n v="-105896"/>
    <n v="113460"/>
  </r>
  <r>
    <x v="39"/>
    <x v="31"/>
    <d v="2024-01-04T00:00:00"/>
    <x v="36"/>
    <x v="1"/>
    <n v="4"/>
    <n v="1697"/>
    <n v="5"/>
    <x v="2"/>
    <x v="2"/>
    <n v="6788"/>
    <n v="-27152"/>
    <n v="33940"/>
  </r>
  <r>
    <x v="40"/>
    <x v="32"/>
    <d v="2024-01-10T00:00:00"/>
    <x v="37"/>
    <x v="34"/>
    <n v="4"/>
    <n v="1948"/>
    <n v="0"/>
    <x v="0"/>
    <x v="0"/>
    <n v="7792"/>
    <n v="7792"/>
    <n v="0"/>
  </r>
  <r>
    <x v="41"/>
    <x v="32"/>
    <d v="2024-01-09T00:00:00"/>
    <x v="38"/>
    <x v="22"/>
    <n v="4"/>
    <n v="1306"/>
    <n v="0"/>
    <x v="2"/>
    <x v="1"/>
    <n v="5224"/>
    <n v="5224"/>
    <n v="0"/>
  </r>
  <r>
    <x v="42"/>
    <x v="33"/>
    <d v="2024-01-09T00:00:00"/>
    <x v="39"/>
    <x v="35"/>
    <n v="4"/>
    <n v="1255"/>
    <n v="0"/>
    <x v="2"/>
    <x v="2"/>
    <n v="5020"/>
    <n v="5020"/>
    <n v="0"/>
  </r>
  <r>
    <x v="43"/>
    <x v="33"/>
    <d v="2024-01-09T00:00:00"/>
    <x v="40"/>
    <x v="36"/>
    <n v="4"/>
    <n v="1312"/>
    <n v="0"/>
    <x v="2"/>
    <x v="0"/>
    <n v="5248"/>
    <n v="5248"/>
    <n v="0"/>
  </r>
  <r>
    <x v="44"/>
    <x v="34"/>
    <d v="2024-01-10T00:00:00"/>
    <x v="41"/>
    <x v="37"/>
    <n v="4"/>
    <n v="1248"/>
    <n v="5"/>
    <x v="2"/>
    <x v="2"/>
    <n v="4992"/>
    <n v="-19968"/>
    <n v="24960"/>
  </r>
  <r>
    <x v="45"/>
    <x v="34"/>
    <d v="2024-01-10T00:00:00"/>
    <x v="35"/>
    <x v="11"/>
    <n v="4"/>
    <n v="494"/>
    <n v="15"/>
    <x v="3"/>
    <x v="3"/>
    <n v="1976"/>
    <n v="-27664"/>
    <n v="29640"/>
  </r>
  <r>
    <x v="46"/>
    <x v="35"/>
    <d v="2024-01-03T00:00:00"/>
    <x v="42"/>
    <x v="27"/>
    <n v="4"/>
    <n v="1139"/>
    <n v="5"/>
    <x v="0"/>
    <x v="3"/>
    <n v="4556"/>
    <n v="-18224"/>
    <n v="22780"/>
  </r>
  <r>
    <x v="47"/>
    <x v="36"/>
    <d v="2024-01-04T00:00:00"/>
    <x v="43"/>
    <x v="38"/>
    <n v="4"/>
    <n v="1316"/>
    <n v="10"/>
    <x v="2"/>
    <x v="3"/>
    <n v="5264"/>
    <n v="-47376"/>
    <n v="52640"/>
  </r>
  <r>
    <x v="48"/>
    <x v="37"/>
    <d v="2024-01-08T00:00:00"/>
    <x v="44"/>
    <x v="39"/>
    <n v="4"/>
    <n v="1846"/>
    <n v="5"/>
    <x v="1"/>
    <x v="1"/>
    <n v="7384"/>
    <n v="-29536"/>
    <n v="36920"/>
  </r>
  <r>
    <x v="49"/>
    <x v="37"/>
    <d v="2024-01-07T00:00:00"/>
    <x v="45"/>
    <x v="40"/>
    <n v="4"/>
    <n v="1523"/>
    <n v="10"/>
    <x v="0"/>
    <x v="3"/>
    <n v="6092"/>
    <n v="-54828"/>
    <n v="60920"/>
  </r>
  <r>
    <x v="50"/>
    <x v="38"/>
    <d v="2024-01-09T00:00:00"/>
    <x v="46"/>
    <x v="23"/>
    <n v="4"/>
    <n v="1749"/>
    <n v="0"/>
    <x v="3"/>
    <x v="0"/>
    <n v="6996"/>
    <n v="6996"/>
    <n v="0"/>
  </r>
  <r>
    <x v="51"/>
    <x v="39"/>
    <d v="2024-01-08T00:00:00"/>
    <x v="47"/>
    <x v="41"/>
    <n v="4"/>
    <n v="1735"/>
    <n v="10"/>
    <x v="0"/>
    <x v="1"/>
    <n v="6940"/>
    <n v="-62460"/>
    <n v="69400"/>
  </r>
  <r>
    <x v="52"/>
    <x v="39"/>
    <d v="2024-01-03T00:00:00"/>
    <x v="48"/>
    <x v="20"/>
    <n v="4"/>
    <n v="540"/>
    <n v="5"/>
    <x v="1"/>
    <x v="0"/>
    <n v="2160"/>
    <n v="-8640"/>
    <n v="10800"/>
  </r>
  <r>
    <x v="53"/>
    <x v="40"/>
    <d v="2024-01-11T00:00:00"/>
    <x v="49"/>
    <x v="1"/>
    <n v="4"/>
    <n v="1379"/>
    <n v="15"/>
    <x v="2"/>
    <x v="1"/>
    <n v="5516"/>
    <n v="-77224"/>
    <n v="82740"/>
  </r>
  <r>
    <x v="54"/>
    <x v="40"/>
    <d v="2024-01-03T00:00:00"/>
    <x v="50"/>
    <x v="42"/>
    <n v="4"/>
    <n v="847"/>
    <n v="5"/>
    <x v="0"/>
    <x v="1"/>
    <n v="3388"/>
    <n v="-13552"/>
    <n v="16940"/>
  </r>
  <r>
    <x v="55"/>
    <x v="40"/>
    <d v="2024-01-10T00:00:00"/>
    <x v="51"/>
    <x v="43"/>
    <n v="4"/>
    <n v="1373"/>
    <n v="5"/>
    <x v="1"/>
    <x v="1"/>
    <n v="5492"/>
    <n v="-21968"/>
    <n v="27460"/>
  </r>
  <r>
    <x v="56"/>
    <x v="41"/>
    <d v="2024-01-03T00:00:00"/>
    <x v="52"/>
    <x v="17"/>
    <n v="4"/>
    <n v="439"/>
    <n v="0"/>
    <x v="3"/>
    <x v="2"/>
    <n v="1756"/>
    <n v="1756"/>
    <n v="0"/>
  </r>
  <r>
    <x v="57"/>
    <x v="41"/>
    <d v="2024-01-08T00:00:00"/>
    <x v="2"/>
    <x v="44"/>
    <n v="4"/>
    <n v="413"/>
    <n v="10"/>
    <x v="2"/>
    <x v="2"/>
    <n v="1652"/>
    <n v="-14868"/>
    <n v="16520"/>
  </r>
  <r>
    <x v="58"/>
    <x v="42"/>
    <d v="2024-01-03T00:00:00"/>
    <x v="53"/>
    <x v="28"/>
    <n v="4"/>
    <n v="1846"/>
    <n v="10"/>
    <x v="2"/>
    <x v="0"/>
    <n v="7384"/>
    <n v="-66456"/>
    <n v="73840"/>
  </r>
  <r>
    <x v="59"/>
    <x v="42"/>
    <d v="2024-01-05T00:00:00"/>
    <x v="54"/>
    <x v="45"/>
    <n v="4"/>
    <n v="1816"/>
    <n v="10"/>
    <x v="1"/>
    <x v="0"/>
    <n v="7264"/>
    <n v="-65376"/>
    <n v="72640"/>
  </r>
  <r>
    <x v="60"/>
    <x v="43"/>
    <d v="2024-01-09T00:00:00"/>
    <x v="55"/>
    <x v="46"/>
    <n v="4"/>
    <n v="713"/>
    <n v="10"/>
    <x v="2"/>
    <x v="1"/>
    <n v="2852"/>
    <n v="-25668"/>
    <n v="28520"/>
  </r>
  <r>
    <x v="61"/>
    <x v="44"/>
    <d v="2024-01-07T00:00:00"/>
    <x v="56"/>
    <x v="47"/>
    <n v="4"/>
    <n v="1031"/>
    <n v="15"/>
    <x v="2"/>
    <x v="2"/>
    <n v="4124"/>
    <n v="-57736"/>
    <n v="61860"/>
  </r>
  <r>
    <x v="62"/>
    <x v="44"/>
    <d v="2024-01-05T00:00:00"/>
    <x v="12"/>
    <x v="19"/>
    <n v="4"/>
    <n v="338"/>
    <n v="15"/>
    <x v="0"/>
    <x v="1"/>
    <n v="1352"/>
    <n v="-18928"/>
    <n v="20280"/>
  </r>
  <r>
    <x v="63"/>
    <x v="45"/>
    <d v="2024-01-04T00:00:00"/>
    <x v="57"/>
    <x v="48"/>
    <n v="4"/>
    <n v="841"/>
    <n v="0"/>
    <x v="3"/>
    <x v="1"/>
    <n v="3364"/>
    <n v="3364"/>
    <n v="0"/>
  </r>
  <r>
    <x v="64"/>
    <x v="46"/>
    <d v="2024-01-07T00:00:00"/>
    <x v="10"/>
    <x v="49"/>
    <n v="4"/>
    <n v="1264"/>
    <n v="15"/>
    <x v="2"/>
    <x v="3"/>
    <n v="5056"/>
    <n v="-70784"/>
    <n v="75840"/>
  </r>
  <r>
    <x v="65"/>
    <x v="47"/>
    <d v="2024-01-11T00:00:00"/>
    <x v="58"/>
    <x v="50"/>
    <n v="4"/>
    <n v="361"/>
    <n v="0"/>
    <x v="2"/>
    <x v="2"/>
    <n v="1444"/>
    <n v="1444"/>
    <n v="0"/>
  </r>
  <r>
    <x v="66"/>
    <x v="48"/>
    <d v="2024-01-06T00:00:00"/>
    <x v="59"/>
    <x v="21"/>
    <n v="4"/>
    <n v="1991"/>
    <n v="15"/>
    <x v="2"/>
    <x v="0"/>
    <n v="7964"/>
    <n v="-111496"/>
    <n v="119460"/>
  </r>
  <r>
    <x v="67"/>
    <x v="49"/>
    <d v="2024-01-11T00:00:00"/>
    <x v="60"/>
    <x v="51"/>
    <n v="4"/>
    <n v="1039"/>
    <n v="0"/>
    <x v="3"/>
    <x v="0"/>
    <n v="4156"/>
    <n v="4156"/>
    <n v="0"/>
  </r>
  <r>
    <x v="68"/>
    <x v="50"/>
    <d v="2024-01-06T00:00:00"/>
    <x v="61"/>
    <x v="30"/>
    <n v="4"/>
    <n v="1093"/>
    <n v="10"/>
    <x v="0"/>
    <x v="3"/>
    <n v="4372"/>
    <n v="-39348"/>
    <n v="43720"/>
  </r>
  <r>
    <x v="69"/>
    <x v="51"/>
    <d v="2024-01-10T00:00:00"/>
    <x v="58"/>
    <x v="8"/>
    <n v="4"/>
    <n v="412"/>
    <n v="5"/>
    <x v="0"/>
    <x v="2"/>
    <n v="1648"/>
    <n v="-6592"/>
    <n v="8240"/>
  </r>
  <r>
    <x v="70"/>
    <x v="51"/>
    <d v="2024-01-07T00:00:00"/>
    <x v="32"/>
    <x v="52"/>
    <n v="4"/>
    <n v="511"/>
    <n v="10"/>
    <x v="3"/>
    <x v="0"/>
    <n v="2044"/>
    <n v="-18396"/>
    <n v="20440"/>
  </r>
  <r>
    <x v="71"/>
    <x v="52"/>
    <d v="2024-01-07T00:00:00"/>
    <x v="62"/>
    <x v="1"/>
    <n v="4"/>
    <n v="570"/>
    <n v="5"/>
    <x v="2"/>
    <x v="1"/>
    <n v="2280"/>
    <n v="-9120"/>
    <n v="11400"/>
  </r>
  <r>
    <x v="72"/>
    <x v="53"/>
    <d v="2024-01-05T00:00:00"/>
    <x v="63"/>
    <x v="53"/>
    <n v="4"/>
    <n v="324"/>
    <n v="0"/>
    <x v="3"/>
    <x v="0"/>
    <n v="1296"/>
    <n v="1296"/>
    <n v="0"/>
  </r>
  <r>
    <x v="73"/>
    <x v="53"/>
    <d v="2024-01-08T00:00:00"/>
    <x v="64"/>
    <x v="54"/>
    <n v="4"/>
    <n v="1339"/>
    <n v="0"/>
    <x v="0"/>
    <x v="1"/>
    <n v="5356"/>
    <n v="5356"/>
    <n v="0"/>
  </r>
  <r>
    <x v="74"/>
    <x v="54"/>
    <d v="2024-01-11T00:00:00"/>
    <x v="65"/>
    <x v="48"/>
    <n v="4"/>
    <n v="488"/>
    <n v="10"/>
    <x v="2"/>
    <x v="1"/>
    <n v="1952"/>
    <n v="-17568"/>
    <n v="19520"/>
  </r>
  <r>
    <x v="75"/>
    <x v="54"/>
    <d v="2024-01-05T00:00:00"/>
    <x v="66"/>
    <x v="55"/>
    <n v="4"/>
    <n v="999"/>
    <n v="5"/>
    <x v="0"/>
    <x v="0"/>
    <n v="3996"/>
    <n v="-15984"/>
    <n v="19980"/>
  </r>
  <r>
    <x v="76"/>
    <x v="55"/>
    <d v="2024-01-04T00:00:00"/>
    <x v="67"/>
    <x v="56"/>
    <n v="4"/>
    <n v="993"/>
    <n v="0"/>
    <x v="1"/>
    <x v="0"/>
    <n v="3972"/>
    <n v="3972"/>
    <n v="0"/>
  </r>
  <r>
    <x v="77"/>
    <x v="56"/>
    <d v="2024-01-08T00:00:00"/>
    <x v="68"/>
    <x v="53"/>
    <n v="4"/>
    <n v="1183"/>
    <n v="15"/>
    <x v="0"/>
    <x v="2"/>
    <n v="4732"/>
    <n v="-66248"/>
    <n v="70980"/>
  </r>
  <r>
    <x v="78"/>
    <x v="56"/>
    <d v="2024-01-11T00:00:00"/>
    <x v="69"/>
    <x v="55"/>
    <n v="4"/>
    <n v="1695"/>
    <n v="0"/>
    <x v="1"/>
    <x v="1"/>
    <n v="6780"/>
    <n v="6780"/>
    <n v="0"/>
  </r>
  <r>
    <x v="79"/>
    <x v="57"/>
    <d v="2024-01-09T00:00:00"/>
    <x v="70"/>
    <x v="57"/>
    <n v="4"/>
    <n v="304"/>
    <n v="0"/>
    <x v="3"/>
    <x v="2"/>
    <n v="1216"/>
    <n v="1216"/>
    <n v="0"/>
  </r>
  <r>
    <x v="80"/>
    <x v="58"/>
    <d v="2024-01-07T00:00:00"/>
    <x v="12"/>
    <x v="58"/>
    <n v="4"/>
    <n v="1586"/>
    <n v="10"/>
    <x v="3"/>
    <x v="1"/>
    <n v="6344"/>
    <n v="-57096"/>
    <n v="63440"/>
  </r>
  <r>
    <x v="81"/>
    <x v="59"/>
    <d v="2024-01-09T00:00:00"/>
    <x v="68"/>
    <x v="59"/>
    <n v="4"/>
    <n v="1056"/>
    <n v="10"/>
    <x v="2"/>
    <x v="0"/>
    <n v="4224"/>
    <n v="-38016"/>
    <n v="42240"/>
  </r>
  <r>
    <x v="82"/>
    <x v="60"/>
    <d v="2024-01-08T00:00:00"/>
    <x v="57"/>
    <x v="60"/>
    <n v="4"/>
    <n v="1572"/>
    <n v="5"/>
    <x v="0"/>
    <x v="1"/>
    <n v="6288"/>
    <n v="-25152"/>
    <n v="31440"/>
  </r>
  <r>
    <x v="83"/>
    <x v="61"/>
    <d v="2024-01-04T00:00:00"/>
    <x v="71"/>
    <x v="61"/>
    <n v="4"/>
    <n v="1418"/>
    <n v="5"/>
    <x v="3"/>
    <x v="1"/>
    <n v="5672"/>
    <n v="-22688"/>
    <n v="28360"/>
  </r>
  <r>
    <x v="84"/>
    <x v="62"/>
    <d v="2024-01-05T00:00:00"/>
    <x v="61"/>
    <x v="62"/>
    <n v="4"/>
    <n v="628"/>
    <n v="15"/>
    <x v="3"/>
    <x v="3"/>
    <n v="2512"/>
    <n v="-35168"/>
    <n v="37680"/>
  </r>
  <r>
    <x v="85"/>
    <x v="63"/>
    <d v="2024-01-03T00:00:00"/>
    <x v="72"/>
    <x v="58"/>
    <n v="4"/>
    <n v="1854"/>
    <n v="0"/>
    <x v="1"/>
    <x v="3"/>
    <n v="7416"/>
    <n v="7416"/>
    <n v="0"/>
  </r>
  <r>
    <x v="86"/>
    <x v="64"/>
    <d v="2024-01-03T00:00:00"/>
    <x v="73"/>
    <x v="46"/>
    <n v="4"/>
    <n v="1055"/>
    <n v="15"/>
    <x v="3"/>
    <x v="2"/>
    <n v="4220"/>
    <n v="-59080"/>
    <n v="63300"/>
  </r>
  <r>
    <x v="87"/>
    <x v="65"/>
    <d v="2024-01-08T00:00:00"/>
    <x v="74"/>
    <x v="63"/>
    <n v="4"/>
    <n v="754"/>
    <n v="5"/>
    <x v="3"/>
    <x v="2"/>
    <n v="3016"/>
    <n v="-12064"/>
    <n v="15080"/>
  </r>
  <r>
    <x v="88"/>
    <x v="66"/>
    <d v="2024-01-03T00:00:00"/>
    <x v="30"/>
    <x v="9"/>
    <n v="4"/>
    <n v="1414"/>
    <n v="15"/>
    <x v="0"/>
    <x v="2"/>
    <n v="5656"/>
    <n v="-79184"/>
    <n v="84840"/>
  </r>
  <r>
    <x v="89"/>
    <x v="67"/>
    <d v="2024-01-05T00:00:00"/>
    <x v="75"/>
    <x v="62"/>
    <n v="4"/>
    <n v="1004"/>
    <n v="10"/>
    <x v="3"/>
    <x v="2"/>
    <n v="4016"/>
    <n v="-36144"/>
    <n v="40160"/>
  </r>
  <r>
    <x v="90"/>
    <x v="68"/>
    <d v="2024-01-03T00:00:00"/>
    <x v="4"/>
    <x v="2"/>
    <n v="4"/>
    <n v="1694"/>
    <n v="15"/>
    <x v="1"/>
    <x v="1"/>
    <n v="6776"/>
    <n v="-94864"/>
    <n v="101640"/>
  </r>
  <r>
    <x v="91"/>
    <x v="68"/>
    <d v="2024-01-04T00:00:00"/>
    <x v="76"/>
    <x v="0"/>
    <n v="4"/>
    <n v="527"/>
    <n v="0"/>
    <x v="2"/>
    <x v="3"/>
    <n v="2108"/>
    <n v="2108"/>
    <n v="0"/>
  </r>
  <r>
    <x v="92"/>
    <x v="69"/>
    <d v="2024-01-11T00:00:00"/>
    <x v="77"/>
    <x v="22"/>
    <n v="4"/>
    <n v="989"/>
    <n v="15"/>
    <x v="2"/>
    <x v="2"/>
    <n v="3956"/>
    <n v="-55384"/>
    <n v="59340"/>
  </r>
  <r>
    <x v="93"/>
    <x v="70"/>
    <d v="2024-01-09T00:00:00"/>
    <x v="59"/>
    <x v="64"/>
    <n v="4"/>
    <n v="567"/>
    <n v="0"/>
    <x v="0"/>
    <x v="3"/>
    <n v="2268"/>
    <n v="2268"/>
    <n v="0"/>
  </r>
  <r>
    <x v="94"/>
    <x v="70"/>
    <d v="2024-01-06T00:00:00"/>
    <x v="78"/>
    <x v="46"/>
    <n v="4"/>
    <n v="697"/>
    <n v="5"/>
    <x v="1"/>
    <x v="3"/>
    <n v="2788"/>
    <n v="-11152"/>
    <n v="13940"/>
  </r>
  <r>
    <x v="95"/>
    <x v="71"/>
    <d v="2024-01-07T00:00:00"/>
    <x v="79"/>
    <x v="65"/>
    <n v="4"/>
    <n v="420"/>
    <n v="0"/>
    <x v="1"/>
    <x v="2"/>
    <n v="1680"/>
    <n v="1680"/>
    <n v="0"/>
  </r>
  <r>
    <x v="96"/>
    <x v="72"/>
    <d v="2024-01-06T00:00:00"/>
    <x v="33"/>
    <x v="63"/>
    <n v="4"/>
    <n v="1348"/>
    <n v="0"/>
    <x v="2"/>
    <x v="0"/>
    <n v="5392"/>
    <n v="5392"/>
    <n v="0"/>
  </r>
  <r>
    <x v="97"/>
    <x v="73"/>
    <d v="2024-01-05T00:00:00"/>
    <x v="80"/>
    <x v="38"/>
    <n v="4"/>
    <n v="390"/>
    <n v="10"/>
    <x v="3"/>
    <x v="0"/>
    <n v="1560"/>
    <n v="-14040"/>
    <n v="15600"/>
  </r>
  <r>
    <x v="98"/>
    <x v="73"/>
    <d v="2024-01-11T00:00:00"/>
    <x v="81"/>
    <x v="59"/>
    <n v="4"/>
    <n v="412"/>
    <n v="5"/>
    <x v="0"/>
    <x v="2"/>
    <n v="1648"/>
    <n v="-6592"/>
    <n v="8240"/>
  </r>
  <r>
    <x v="99"/>
    <x v="74"/>
    <d v="2024-01-05T00:00:00"/>
    <x v="82"/>
    <x v="16"/>
    <n v="4"/>
    <n v="795"/>
    <n v="10"/>
    <x v="1"/>
    <x v="1"/>
    <n v="3180"/>
    <n v="-28620"/>
    <n v="31800"/>
  </r>
  <r>
    <x v="100"/>
    <x v="74"/>
    <d v="2024-01-10T00:00:00"/>
    <x v="83"/>
    <x v="37"/>
    <n v="4"/>
    <n v="222"/>
    <n v="0"/>
    <x v="0"/>
    <x v="3"/>
    <n v="888"/>
    <n v="888"/>
    <n v="0"/>
  </r>
  <r>
    <x v="101"/>
    <x v="74"/>
    <d v="2024-01-11T00:00:00"/>
    <x v="84"/>
    <x v="66"/>
    <n v="4"/>
    <n v="1102"/>
    <n v="5"/>
    <x v="1"/>
    <x v="0"/>
    <n v="4408"/>
    <n v="-17632"/>
    <n v="22040"/>
  </r>
  <r>
    <x v="102"/>
    <x v="75"/>
    <d v="2024-01-09T00:00:00"/>
    <x v="85"/>
    <x v="58"/>
    <n v="4"/>
    <n v="635"/>
    <n v="10"/>
    <x v="2"/>
    <x v="1"/>
    <n v="2540"/>
    <n v="-22860"/>
    <n v="25400"/>
  </r>
  <r>
    <x v="103"/>
    <x v="76"/>
    <d v="2024-01-08T00:00:00"/>
    <x v="86"/>
    <x v="56"/>
    <n v="4"/>
    <n v="1856"/>
    <n v="0"/>
    <x v="2"/>
    <x v="2"/>
    <n v="7424"/>
    <n v="7424"/>
    <n v="0"/>
  </r>
  <r>
    <x v="104"/>
    <x v="77"/>
    <d v="2024-01-05T00:00:00"/>
    <x v="87"/>
    <x v="50"/>
    <n v="4"/>
    <n v="1495"/>
    <n v="0"/>
    <x v="3"/>
    <x v="2"/>
    <n v="5980"/>
    <n v="5980"/>
    <n v="0"/>
  </r>
  <r>
    <x v="105"/>
    <x v="78"/>
    <d v="2024-01-09T00:00:00"/>
    <x v="23"/>
    <x v="26"/>
    <n v="4"/>
    <n v="632"/>
    <n v="0"/>
    <x v="3"/>
    <x v="0"/>
    <n v="2528"/>
    <n v="2528"/>
    <n v="0"/>
  </r>
  <r>
    <x v="106"/>
    <x v="79"/>
    <d v="2024-01-08T00:00:00"/>
    <x v="88"/>
    <x v="58"/>
    <n v="4"/>
    <n v="252"/>
    <n v="10"/>
    <x v="2"/>
    <x v="3"/>
    <n v="1008"/>
    <n v="-9072"/>
    <n v="10080"/>
  </r>
  <r>
    <x v="107"/>
    <x v="80"/>
    <d v="2024-01-06T00:00:00"/>
    <x v="22"/>
    <x v="66"/>
    <n v="4"/>
    <n v="1791"/>
    <n v="5"/>
    <x v="2"/>
    <x v="3"/>
    <n v="7164"/>
    <n v="-28656"/>
    <n v="35820"/>
  </r>
  <r>
    <x v="108"/>
    <x v="81"/>
    <d v="2024-01-03T00:00:00"/>
    <x v="89"/>
    <x v="67"/>
    <n v="4"/>
    <n v="538"/>
    <n v="5"/>
    <x v="3"/>
    <x v="2"/>
    <n v="2152"/>
    <n v="-8608"/>
    <n v="10760"/>
  </r>
  <r>
    <x v="109"/>
    <x v="82"/>
    <d v="2024-01-08T00:00:00"/>
    <x v="90"/>
    <x v="50"/>
    <n v="4"/>
    <n v="1898"/>
    <n v="0"/>
    <x v="0"/>
    <x v="2"/>
    <n v="7592"/>
    <n v="7592"/>
    <n v="0"/>
  </r>
  <r>
    <x v="110"/>
    <x v="83"/>
    <d v="2024-01-05T00:00:00"/>
    <x v="91"/>
    <x v="68"/>
    <n v="4"/>
    <n v="1944"/>
    <n v="0"/>
    <x v="2"/>
    <x v="2"/>
    <n v="7776"/>
    <n v="7776"/>
    <n v="0"/>
  </r>
  <r>
    <x v="111"/>
    <x v="84"/>
    <d v="2024-01-10T00:00:00"/>
    <x v="92"/>
    <x v="2"/>
    <n v="4"/>
    <n v="1953"/>
    <n v="10"/>
    <x v="1"/>
    <x v="3"/>
    <n v="7812"/>
    <n v="-70308"/>
    <n v="78120"/>
  </r>
  <r>
    <x v="112"/>
    <x v="84"/>
    <d v="2024-01-11T00:00:00"/>
    <x v="93"/>
    <x v="69"/>
    <n v="4"/>
    <n v="1594"/>
    <n v="5"/>
    <x v="0"/>
    <x v="3"/>
    <n v="6376"/>
    <n v="-25504"/>
    <n v="31880"/>
  </r>
  <r>
    <x v="113"/>
    <x v="85"/>
    <d v="2024-01-03T00:00:00"/>
    <x v="94"/>
    <x v="38"/>
    <n v="4"/>
    <n v="1165"/>
    <n v="15"/>
    <x v="0"/>
    <x v="2"/>
    <n v="4660"/>
    <n v="-65240"/>
    <n v="69900"/>
  </r>
  <r>
    <x v="114"/>
    <x v="86"/>
    <d v="2024-01-10T00:00:00"/>
    <x v="95"/>
    <x v="55"/>
    <n v="4"/>
    <n v="702"/>
    <n v="15"/>
    <x v="3"/>
    <x v="1"/>
    <n v="2808"/>
    <n v="-39312"/>
    <n v="42120"/>
  </r>
  <r>
    <x v="115"/>
    <x v="87"/>
    <d v="2024-01-08T00:00:00"/>
    <x v="96"/>
    <x v="15"/>
    <n v="4"/>
    <n v="1938"/>
    <n v="10"/>
    <x v="2"/>
    <x v="1"/>
    <n v="7752"/>
    <n v="-69768"/>
    <n v="77520"/>
  </r>
  <r>
    <x v="116"/>
    <x v="87"/>
    <d v="2024-01-03T00:00:00"/>
    <x v="63"/>
    <x v="38"/>
    <n v="4"/>
    <n v="1184"/>
    <n v="15"/>
    <x v="2"/>
    <x v="2"/>
    <n v="4736"/>
    <n v="-66304"/>
    <n v="71040"/>
  </r>
  <r>
    <x v="117"/>
    <x v="88"/>
    <d v="2024-01-10T00:00:00"/>
    <x v="97"/>
    <x v="70"/>
    <n v="4"/>
    <n v="573"/>
    <n v="5"/>
    <x v="0"/>
    <x v="3"/>
    <n v="2292"/>
    <n v="-9168"/>
    <n v="11460"/>
  </r>
  <r>
    <x v="118"/>
    <x v="88"/>
    <d v="2024-01-11T00:00:00"/>
    <x v="98"/>
    <x v="34"/>
    <n v="4"/>
    <n v="1425"/>
    <n v="0"/>
    <x v="1"/>
    <x v="1"/>
    <n v="5700"/>
    <n v="5700"/>
    <n v="0"/>
  </r>
  <r>
    <x v="119"/>
    <x v="89"/>
    <d v="2024-01-09T00:00:00"/>
    <x v="99"/>
    <x v="71"/>
    <n v="4"/>
    <n v="402"/>
    <n v="15"/>
    <x v="0"/>
    <x v="0"/>
    <n v="1608"/>
    <n v="-22512"/>
    <n v="24120"/>
  </r>
  <r>
    <x v="120"/>
    <x v="90"/>
    <d v="2024-01-05T00:00:00"/>
    <x v="100"/>
    <x v="72"/>
    <n v="4"/>
    <n v="991"/>
    <n v="0"/>
    <x v="1"/>
    <x v="1"/>
    <n v="3964"/>
    <n v="3964"/>
    <n v="0"/>
  </r>
  <r>
    <x v="121"/>
    <x v="91"/>
    <d v="2024-01-03T00:00:00"/>
    <x v="101"/>
    <x v="73"/>
    <n v="4"/>
    <n v="517"/>
    <n v="5"/>
    <x v="0"/>
    <x v="0"/>
    <n v="2068"/>
    <n v="-8272"/>
    <n v="10340"/>
  </r>
  <r>
    <x v="122"/>
    <x v="92"/>
    <d v="2024-01-07T00:00:00"/>
    <x v="102"/>
    <x v="74"/>
    <n v="4"/>
    <n v="444"/>
    <n v="15"/>
    <x v="3"/>
    <x v="1"/>
    <n v="1776"/>
    <n v="-24864"/>
    <n v="26640"/>
  </r>
  <r>
    <x v="123"/>
    <x v="93"/>
    <d v="2024-01-03T00:00:00"/>
    <x v="103"/>
    <x v="24"/>
    <n v="4"/>
    <n v="476"/>
    <n v="0"/>
    <x v="1"/>
    <x v="0"/>
    <n v="1904"/>
    <n v="1904"/>
    <n v="0"/>
  </r>
  <r>
    <x v="124"/>
    <x v="94"/>
    <d v="2024-01-05T00:00:00"/>
    <x v="104"/>
    <x v="0"/>
    <n v="4"/>
    <n v="1596"/>
    <n v="0"/>
    <x v="0"/>
    <x v="2"/>
    <n v="6384"/>
    <n v="6384"/>
    <n v="0"/>
  </r>
  <r>
    <x v="125"/>
    <x v="95"/>
    <d v="2024-01-03T00:00:00"/>
    <x v="105"/>
    <x v="39"/>
    <n v="4"/>
    <n v="1820"/>
    <n v="0"/>
    <x v="2"/>
    <x v="3"/>
    <n v="7280"/>
    <n v="7280"/>
    <n v="0"/>
  </r>
  <r>
    <x v="126"/>
    <x v="96"/>
    <d v="2024-01-11T00:00:00"/>
    <x v="104"/>
    <x v="16"/>
    <n v="4"/>
    <n v="1605"/>
    <n v="10"/>
    <x v="2"/>
    <x v="2"/>
    <n v="6420"/>
    <n v="-57780"/>
    <n v="64200"/>
  </r>
  <r>
    <x v="127"/>
    <x v="96"/>
    <d v="2024-01-11T00:00:00"/>
    <x v="99"/>
    <x v="74"/>
    <n v="4"/>
    <n v="696"/>
    <n v="10"/>
    <x v="1"/>
    <x v="2"/>
    <n v="2784"/>
    <n v="-25056"/>
    <n v="27840"/>
  </r>
  <r>
    <x v="128"/>
    <x v="97"/>
    <d v="2024-01-04T00:00:00"/>
    <x v="106"/>
    <x v="75"/>
    <n v="4"/>
    <n v="1870"/>
    <n v="10"/>
    <x v="0"/>
    <x v="0"/>
    <n v="7480"/>
    <n v="-67320"/>
    <n v="74800"/>
  </r>
  <r>
    <x v="129"/>
    <x v="98"/>
    <d v="2024-01-10T00:00:00"/>
    <x v="57"/>
    <x v="62"/>
    <n v="4"/>
    <n v="1743"/>
    <n v="5"/>
    <x v="3"/>
    <x v="3"/>
    <n v="6972"/>
    <n v="-27888"/>
    <n v="34860"/>
  </r>
  <r>
    <x v="130"/>
    <x v="98"/>
    <d v="2024-01-09T00:00:00"/>
    <x v="107"/>
    <x v="76"/>
    <n v="4"/>
    <n v="1709"/>
    <n v="10"/>
    <x v="3"/>
    <x v="1"/>
    <n v="6836"/>
    <n v="-61524"/>
    <n v="68360"/>
  </r>
  <r>
    <x v="131"/>
    <x v="99"/>
    <d v="2024-01-09T00:00:00"/>
    <x v="16"/>
    <x v="11"/>
    <n v="4"/>
    <n v="775"/>
    <n v="15"/>
    <x v="0"/>
    <x v="2"/>
    <n v="3100"/>
    <n v="-43400"/>
    <n v="46500"/>
  </r>
  <r>
    <x v="132"/>
    <x v="99"/>
    <d v="2024-01-06T00:00:00"/>
    <x v="108"/>
    <x v="4"/>
    <n v="4"/>
    <n v="962"/>
    <n v="5"/>
    <x v="1"/>
    <x v="0"/>
    <n v="3848"/>
    <n v="-15392"/>
    <n v="19240"/>
  </r>
  <r>
    <x v="133"/>
    <x v="100"/>
    <d v="2024-01-04T00:00:00"/>
    <x v="109"/>
    <x v="29"/>
    <n v="4"/>
    <n v="1151"/>
    <n v="10"/>
    <x v="2"/>
    <x v="1"/>
    <n v="4604"/>
    <n v="-41436"/>
    <n v="46040"/>
  </r>
  <r>
    <x v="134"/>
    <x v="100"/>
    <d v="2024-01-10T00:00:00"/>
    <x v="73"/>
    <x v="9"/>
    <n v="4"/>
    <n v="1883"/>
    <n v="0"/>
    <x v="3"/>
    <x v="1"/>
    <n v="7532"/>
    <n v="7532"/>
    <n v="0"/>
  </r>
  <r>
    <x v="135"/>
    <x v="101"/>
    <d v="2024-01-10T00:00:00"/>
    <x v="110"/>
    <x v="22"/>
    <n v="4"/>
    <n v="636"/>
    <n v="0"/>
    <x v="3"/>
    <x v="0"/>
    <n v="2544"/>
    <n v="2544"/>
    <n v="0"/>
  </r>
  <r>
    <x v="136"/>
    <x v="102"/>
    <d v="2024-01-09T00:00:00"/>
    <x v="111"/>
    <x v="41"/>
    <n v="4"/>
    <n v="751"/>
    <n v="0"/>
    <x v="1"/>
    <x v="0"/>
    <n v="3004"/>
    <n v="3004"/>
    <n v="0"/>
  </r>
  <r>
    <x v="137"/>
    <x v="102"/>
    <d v="2024-01-07T00:00:00"/>
    <x v="112"/>
    <x v="55"/>
    <n v="4"/>
    <n v="655"/>
    <n v="5"/>
    <x v="2"/>
    <x v="0"/>
    <n v="2620"/>
    <n v="-10480"/>
    <n v="13100"/>
  </r>
  <r>
    <x v="138"/>
    <x v="103"/>
    <d v="2024-01-04T00:00:00"/>
    <x v="80"/>
    <x v="77"/>
    <n v="4"/>
    <n v="1704"/>
    <n v="5"/>
    <x v="3"/>
    <x v="1"/>
    <n v="6816"/>
    <n v="-27264"/>
    <n v="34080"/>
  </r>
  <r>
    <x v="139"/>
    <x v="103"/>
    <d v="2024-01-08T00:00:00"/>
    <x v="38"/>
    <x v="64"/>
    <n v="4"/>
    <n v="1507"/>
    <n v="5"/>
    <x v="3"/>
    <x v="1"/>
    <n v="6028"/>
    <n v="-24112"/>
    <n v="30140"/>
  </r>
  <r>
    <x v="140"/>
    <x v="104"/>
    <d v="2024-01-09T00:00:00"/>
    <x v="113"/>
    <x v="50"/>
    <n v="4"/>
    <n v="1317"/>
    <n v="5"/>
    <x v="0"/>
    <x v="3"/>
    <n v="5268"/>
    <n v="-21072"/>
    <n v="26340"/>
  </r>
  <r>
    <x v="141"/>
    <x v="105"/>
    <d v="2024-01-06T00:00:00"/>
    <x v="114"/>
    <x v="26"/>
    <n v="4"/>
    <n v="847"/>
    <n v="5"/>
    <x v="3"/>
    <x v="3"/>
    <n v="3388"/>
    <n v="-13552"/>
    <n v="16940"/>
  </r>
  <r>
    <x v="142"/>
    <x v="106"/>
    <d v="2024-01-03T00:00:00"/>
    <x v="101"/>
    <x v="63"/>
    <n v="4"/>
    <n v="1535"/>
    <n v="5"/>
    <x v="1"/>
    <x v="0"/>
    <n v="6140"/>
    <n v="-24560"/>
    <n v="30700"/>
  </r>
  <r>
    <x v="143"/>
    <x v="107"/>
    <d v="2024-01-10T00:00:00"/>
    <x v="115"/>
    <x v="70"/>
    <n v="4"/>
    <n v="1261"/>
    <n v="15"/>
    <x v="1"/>
    <x v="0"/>
    <n v="5044"/>
    <n v="-70616"/>
    <n v="75660"/>
  </r>
  <r>
    <x v="144"/>
    <x v="107"/>
    <d v="2024-01-11T00:00:00"/>
    <x v="116"/>
    <x v="10"/>
    <n v="4"/>
    <n v="643"/>
    <n v="15"/>
    <x v="0"/>
    <x v="1"/>
    <n v="2572"/>
    <n v="-36008"/>
    <n v="38580"/>
  </r>
  <r>
    <x v="145"/>
    <x v="108"/>
    <d v="2024-01-11T00:00:00"/>
    <x v="117"/>
    <x v="38"/>
    <n v="4"/>
    <n v="1540"/>
    <n v="5"/>
    <x v="1"/>
    <x v="2"/>
    <n v="6160"/>
    <n v="-24640"/>
    <n v="30800"/>
  </r>
  <r>
    <x v="146"/>
    <x v="108"/>
    <d v="2024-01-03T00:00:00"/>
    <x v="118"/>
    <x v="0"/>
    <n v="4"/>
    <n v="1713"/>
    <n v="0"/>
    <x v="0"/>
    <x v="3"/>
    <n v="6852"/>
    <n v="6852"/>
    <n v="0"/>
  </r>
  <r>
    <x v="147"/>
    <x v="109"/>
    <d v="2024-01-06T00:00:00"/>
    <x v="109"/>
    <x v="40"/>
    <n v="4"/>
    <n v="1214"/>
    <n v="10"/>
    <x v="3"/>
    <x v="2"/>
    <n v="4856"/>
    <n v="-43704"/>
    <n v="48560"/>
  </r>
  <r>
    <x v="148"/>
    <x v="110"/>
    <d v="2024-01-05T00:00:00"/>
    <x v="59"/>
    <x v="4"/>
    <n v="4"/>
    <n v="1832"/>
    <n v="15"/>
    <x v="0"/>
    <x v="1"/>
    <n v="7328"/>
    <n v="-102592"/>
    <n v="109920"/>
  </r>
  <r>
    <x v="149"/>
    <x v="111"/>
    <d v="2024-01-10T00:00:00"/>
    <x v="119"/>
    <x v="58"/>
    <n v="4"/>
    <n v="1532"/>
    <n v="10"/>
    <x v="1"/>
    <x v="3"/>
    <n v="6128"/>
    <n v="-55152"/>
    <n v="61280"/>
  </r>
  <r>
    <x v="150"/>
    <x v="111"/>
    <d v="2024-01-04T00:00:00"/>
    <x v="120"/>
    <x v="23"/>
    <n v="4"/>
    <n v="265"/>
    <n v="5"/>
    <x v="2"/>
    <x v="3"/>
    <n v="1060"/>
    <n v="-4240"/>
    <n v="5300"/>
  </r>
  <r>
    <x v="151"/>
    <x v="112"/>
    <d v="2024-01-06T00:00:00"/>
    <x v="121"/>
    <x v="78"/>
    <n v="4"/>
    <n v="1674"/>
    <n v="15"/>
    <x v="1"/>
    <x v="2"/>
    <n v="6696"/>
    <n v="-93744"/>
    <n v="100440"/>
  </r>
  <r>
    <x v="152"/>
    <x v="113"/>
    <d v="2024-01-10T00:00:00"/>
    <x v="122"/>
    <x v="79"/>
    <n v="4"/>
    <n v="1474"/>
    <n v="5"/>
    <x v="1"/>
    <x v="3"/>
    <n v="5896"/>
    <n v="-23584"/>
    <n v="29480"/>
  </r>
  <r>
    <x v="153"/>
    <x v="114"/>
    <d v="2024-01-04T00:00:00"/>
    <x v="123"/>
    <x v="25"/>
    <n v="4"/>
    <n v="1623"/>
    <n v="0"/>
    <x v="0"/>
    <x v="0"/>
    <n v="6492"/>
    <n v="6492"/>
    <n v="0"/>
  </r>
  <r>
    <x v="154"/>
    <x v="115"/>
    <d v="2024-01-03T00:00:00"/>
    <x v="72"/>
    <x v="5"/>
    <n v="4"/>
    <n v="1807"/>
    <n v="15"/>
    <x v="2"/>
    <x v="3"/>
    <n v="7228"/>
    <n v="-101192"/>
    <n v="108420"/>
  </r>
  <r>
    <x v="155"/>
    <x v="116"/>
    <d v="2024-01-03T00:00:00"/>
    <x v="42"/>
    <x v="69"/>
    <n v="4"/>
    <n v="1666"/>
    <n v="0"/>
    <x v="3"/>
    <x v="0"/>
    <n v="6664"/>
    <n v="6664"/>
    <n v="0"/>
  </r>
  <r>
    <x v="156"/>
    <x v="117"/>
    <d v="2024-01-09T00:00:00"/>
    <x v="124"/>
    <x v="79"/>
    <n v="4"/>
    <n v="1335"/>
    <n v="10"/>
    <x v="1"/>
    <x v="1"/>
    <n v="5340"/>
    <n v="-48060"/>
    <n v="53400"/>
  </r>
  <r>
    <x v="157"/>
    <x v="117"/>
    <d v="2024-01-03T00:00:00"/>
    <x v="27"/>
    <x v="53"/>
    <n v="4"/>
    <n v="242"/>
    <n v="10"/>
    <x v="2"/>
    <x v="0"/>
    <n v="968"/>
    <n v="-8712"/>
    <n v="9680"/>
  </r>
  <r>
    <x v="158"/>
    <x v="118"/>
    <d v="2024-01-05T00:00:00"/>
    <x v="125"/>
    <x v="80"/>
    <n v="4"/>
    <n v="868"/>
    <n v="0"/>
    <x v="0"/>
    <x v="3"/>
    <n v="3472"/>
    <n v="3472"/>
    <n v="0"/>
  </r>
  <r>
    <x v="159"/>
    <x v="118"/>
    <d v="2024-01-04T00:00:00"/>
    <x v="126"/>
    <x v="33"/>
    <n v="4"/>
    <n v="1618"/>
    <n v="10"/>
    <x v="0"/>
    <x v="2"/>
    <n v="6472"/>
    <n v="-58248"/>
    <n v="64720"/>
  </r>
  <r>
    <x v="160"/>
    <x v="119"/>
    <d v="2024-01-03T00:00:00"/>
    <x v="3"/>
    <x v="75"/>
    <n v="4"/>
    <n v="1846"/>
    <n v="15"/>
    <x v="1"/>
    <x v="2"/>
    <n v="7384"/>
    <n v="-103376"/>
    <n v="110760"/>
  </r>
  <r>
    <x v="161"/>
    <x v="120"/>
    <d v="2024-01-04T00:00:00"/>
    <x v="127"/>
    <x v="49"/>
    <n v="4"/>
    <n v="1047"/>
    <n v="10"/>
    <x v="3"/>
    <x v="3"/>
    <n v="4188"/>
    <n v="-37692"/>
    <n v="41880"/>
  </r>
  <r>
    <x v="162"/>
    <x v="120"/>
    <d v="2024-01-05T00:00:00"/>
    <x v="128"/>
    <x v="69"/>
    <n v="4"/>
    <n v="963"/>
    <n v="5"/>
    <x v="1"/>
    <x v="2"/>
    <n v="3852"/>
    <n v="-15408"/>
    <n v="19260"/>
  </r>
  <r>
    <x v="163"/>
    <x v="121"/>
    <d v="2024-01-07T00:00:00"/>
    <x v="129"/>
    <x v="81"/>
    <n v="4"/>
    <n v="1449"/>
    <n v="10"/>
    <x v="2"/>
    <x v="3"/>
    <n v="5796"/>
    <n v="-52164"/>
    <n v="57960"/>
  </r>
  <r>
    <x v="164"/>
    <x v="121"/>
    <d v="2024-01-10T00:00:00"/>
    <x v="72"/>
    <x v="18"/>
    <n v="4"/>
    <n v="348"/>
    <n v="15"/>
    <x v="3"/>
    <x v="0"/>
    <n v="1392"/>
    <n v="-19488"/>
    <n v="20880"/>
  </r>
  <r>
    <x v="165"/>
    <x v="122"/>
    <d v="2024-01-09T00:00:00"/>
    <x v="130"/>
    <x v="79"/>
    <n v="4"/>
    <n v="1198"/>
    <n v="0"/>
    <x v="1"/>
    <x v="3"/>
    <n v="4792"/>
    <n v="4792"/>
    <n v="0"/>
  </r>
  <r>
    <x v="166"/>
    <x v="123"/>
    <d v="2024-01-05T00:00:00"/>
    <x v="64"/>
    <x v="66"/>
    <n v="4"/>
    <n v="733"/>
    <n v="0"/>
    <x v="3"/>
    <x v="2"/>
    <n v="2932"/>
    <n v="2932"/>
    <n v="0"/>
  </r>
  <r>
    <x v="167"/>
    <x v="124"/>
    <d v="2024-01-03T00:00:00"/>
    <x v="111"/>
    <x v="35"/>
    <n v="4"/>
    <n v="1431"/>
    <n v="15"/>
    <x v="1"/>
    <x v="3"/>
    <n v="5724"/>
    <n v="-80136"/>
    <n v="85860"/>
  </r>
  <r>
    <x v="168"/>
    <x v="125"/>
    <d v="2024-01-08T00:00:00"/>
    <x v="131"/>
    <x v="57"/>
    <n v="4"/>
    <n v="1123"/>
    <n v="0"/>
    <x v="2"/>
    <x v="0"/>
    <n v="4492"/>
    <n v="4492"/>
    <n v="0"/>
  </r>
  <r>
    <x v="169"/>
    <x v="125"/>
    <d v="2024-01-08T00:00:00"/>
    <x v="84"/>
    <x v="79"/>
    <n v="4"/>
    <n v="375"/>
    <n v="5"/>
    <x v="2"/>
    <x v="0"/>
    <n v="1500"/>
    <n v="-6000"/>
    <n v="7500"/>
  </r>
  <r>
    <x v="170"/>
    <x v="126"/>
    <d v="2024-01-03T00:00:00"/>
    <x v="132"/>
    <x v="82"/>
    <n v="4"/>
    <n v="760"/>
    <n v="15"/>
    <x v="3"/>
    <x v="2"/>
    <n v="3040"/>
    <n v="-42560"/>
    <n v="45600"/>
  </r>
  <r>
    <x v="171"/>
    <x v="127"/>
    <d v="2024-01-03T00:00:00"/>
    <x v="109"/>
    <x v="67"/>
    <n v="4"/>
    <n v="1847"/>
    <n v="5"/>
    <x v="0"/>
    <x v="2"/>
    <n v="7388"/>
    <n v="-29552"/>
    <n v="36940"/>
  </r>
  <r>
    <x v="172"/>
    <x v="128"/>
    <d v="2024-01-06T00:00:00"/>
    <x v="133"/>
    <x v="1"/>
    <n v="4"/>
    <n v="1189"/>
    <n v="15"/>
    <x v="2"/>
    <x v="1"/>
    <n v="4756"/>
    <n v="-66584"/>
    <n v="71340"/>
  </r>
  <r>
    <x v="173"/>
    <x v="129"/>
    <d v="2024-01-07T00:00:00"/>
    <x v="90"/>
    <x v="83"/>
    <n v="4"/>
    <n v="291"/>
    <n v="15"/>
    <x v="0"/>
    <x v="0"/>
    <n v="1164"/>
    <n v="-16296"/>
    <n v="17460"/>
  </r>
  <r>
    <x v="174"/>
    <x v="130"/>
    <d v="2024-01-10T00:00:00"/>
    <x v="134"/>
    <x v="59"/>
    <n v="4"/>
    <n v="1756"/>
    <n v="5"/>
    <x v="3"/>
    <x v="2"/>
    <n v="7024"/>
    <n v="-28096"/>
    <n v="35120"/>
  </r>
  <r>
    <x v="175"/>
    <x v="131"/>
    <d v="2024-01-05T00:00:00"/>
    <x v="135"/>
    <x v="64"/>
    <n v="4"/>
    <n v="859"/>
    <n v="0"/>
    <x v="3"/>
    <x v="2"/>
    <n v="3436"/>
    <n v="3436"/>
    <n v="0"/>
  </r>
  <r>
    <x v="176"/>
    <x v="132"/>
    <d v="2024-01-10T00:00:00"/>
    <x v="136"/>
    <x v="29"/>
    <n v="4"/>
    <n v="886"/>
    <n v="5"/>
    <x v="3"/>
    <x v="2"/>
    <n v="3544"/>
    <n v="-14176"/>
    <n v="17720"/>
  </r>
  <r>
    <x v="177"/>
    <x v="133"/>
    <d v="2024-01-04T00:00:00"/>
    <x v="137"/>
    <x v="56"/>
    <n v="4"/>
    <n v="692"/>
    <n v="10"/>
    <x v="2"/>
    <x v="2"/>
    <n v="2768"/>
    <n v="-24912"/>
    <n v="27680"/>
  </r>
  <r>
    <x v="178"/>
    <x v="133"/>
    <d v="2024-01-05T00:00:00"/>
    <x v="74"/>
    <x v="20"/>
    <n v="4"/>
    <n v="1413"/>
    <n v="0"/>
    <x v="3"/>
    <x v="3"/>
    <n v="5652"/>
    <n v="5652"/>
    <n v="0"/>
  </r>
  <r>
    <x v="179"/>
    <x v="134"/>
    <d v="2024-01-06T00:00:00"/>
    <x v="138"/>
    <x v="39"/>
    <n v="4"/>
    <n v="1707"/>
    <n v="15"/>
    <x v="3"/>
    <x v="2"/>
    <n v="6828"/>
    <n v="-95592"/>
    <n v="102420"/>
  </r>
  <r>
    <x v="180"/>
    <x v="135"/>
    <d v="2024-01-09T00:00:00"/>
    <x v="3"/>
    <x v="3"/>
    <n v="4"/>
    <n v="1533"/>
    <n v="0"/>
    <x v="2"/>
    <x v="3"/>
    <n v="6132"/>
    <n v="6132"/>
    <n v="0"/>
  </r>
  <r>
    <x v="181"/>
    <x v="136"/>
    <d v="2024-01-06T00:00:00"/>
    <x v="72"/>
    <x v="84"/>
    <n v="4"/>
    <n v="679"/>
    <n v="0"/>
    <x v="1"/>
    <x v="1"/>
    <n v="2716"/>
    <n v="2716"/>
    <n v="0"/>
  </r>
  <r>
    <x v="182"/>
    <x v="137"/>
    <d v="2024-01-11T00:00:00"/>
    <x v="87"/>
    <x v="85"/>
    <n v="4"/>
    <n v="1629"/>
    <n v="15"/>
    <x v="3"/>
    <x v="1"/>
    <n v="6516"/>
    <n v="-91224"/>
    <n v="97740"/>
  </r>
  <r>
    <x v="183"/>
    <x v="138"/>
    <d v="2024-01-06T00:00:00"/>
    <x v="139"/>
    <x v="48"/>
    <n v="4"/>
    <n v="781"/>
    <n v="10"/>
    <x v="3"/>
    <x v="2"/>
    <n v="3124"/>
    <n v="-28116"/>
    <n v="31240"/>
  </r>
  <r>
    <x v="184"/>
    <x v="138"/>
    <d v="2024-01-05T00:00:00"/>
    <x v="65"/>
    <x v="86"/>
    <n v="4"/>
    <n v="850"/>
    <n v="5"/>
    <x v="2"/>
    <x v="2"/>
    <n v="3400"/>
    <n v="-13600"/>
    <n v="17000"/>
  </r>
  <r>
    <x v="185"/>
    <x v="138"/>
    <d v="2024-01-08T00:00:00"/>
    <x v="140"/>
    <x v="13"/>
    <n v="4"/>
    <n v="548"/>
    <n v="0"/>
    <x v="0"/>
    <x v="0"/>
    <n v="2192"/>
    <n v="2192"/>
    <n v="0"/>
  </r>
  <r>
    <x v="186"/>
    <x v="138"/>
    <d v="2024-01-04T00:00:00"/>
    <x v="141"/>
    <x v="45"/>
    <n v="4"/>
    <n v="612"/>
    <n v="0"/>
    <x v="1"/>
    <x v="1"/>
    <n v="2448"/>
    <n v="2448"/>
    <n v="0"/>
  </r>
  <r>
    <x v="187"/>
    <x v="139"/>
    <d v="2024-01-10T00:00:00"/>
    <x v="2"/>
    <x v="87"/>
    <n v="4"/>
    <n v="715"/>
    <n v="0"/>
    <x v="3"/>
    <x v="3"/>
    <n v="2860"/>
    <n v="2860"/>
    <n v="0"/>
  </r>
  <r>
    <x v="188"/>
    <x v="140"/>
    <d v="2024-01-07T00:00:00"/>
    <x v="142"/>
    <x v="51"/>
    <n v="4"/>
    <n v="434"/>
    <n v="10"/>
    <x v="1"/>
    <x v="3"/>
    <n v="1736"/>
    <n v="-15624"/>
    <n v="17360"/>
  </r>
  <r>
    <x v="189"/>
    <x v="141"/>
    <d v="2024-01-05T00:00:00"/>
    <x v="59"/>
    <x v="42"/>
    <n v="4"/>
    <n v="1615"/>
    <n v="0"/>
    <x v="0"/>
    <x v="0"/>
    <n v="6460"/>
    <n v="6460"/>
    <n v="0"/>
  </r>
  <r>
    <x v="190"/>
    <x v="141"/>
    <d v="2024-01-07T00:00:00"/>
    <x v="110"/>
    <x v="61"/>
    <n v="4"/>
    <n v="725"/>
    <n v="15"/>
    <x v="0"/>
    <x v="3"/>
    <n v="2900"/>
    <n v="-40600"/>
    <n v="43500"/>
  </r>
  <r>
    <x v="191"/>
    <x v="142"/>
    <d v="2024-01-10T00:00:00"/>
    <x v="66"/>
    <x v="63"/>
    <n v="4"/>
    <n v="780"/>
    <n v="15"/>
    <x v="3"/>
    <x v="2"/>
    <n v="3120"/>
    <n v="-43680"/>
    <n v="46800"/>
  </r>
  <r>
    <x v="192"/>
    <x v="143"/>
    <d v="2024-01-10T00:00:00"/>
    <x v="140"/>
    <x v="76"/>
    <n v="4"/>
    <n v="467"/>
    <n v="0"/>
    <x v="3"/>
    <x v="2"/>
    <n v="1868"/>
    <n v="1868"/>
    <n v="0"/>
  </r>
  <r>
    <x v="193"/>
    <x v="144"/>
    <d v="2024-01-03T00:00:00"/>
    <x v="92"/>
    <x v="8"/>
    <n v="4"/>
    <n v="719"/>
    <n v="5"/>
    <x v="3"/>
    <x v="3"/>
    <n v="2876"/>
    <n v="-11504"/>
    <n v="14380"/>
  </r>
  <r>
    <x v="194"/>
    <x v="145"/>
    <d v="2024-01-05T00:00:00"/>
    <x v="8"/>
    <x v="13"/>
    <n v="4"/>
    <n v="272"/>
    <n v="0"/>
    <x v="3"/>
    <x v="3"/>
    <n v="1088"/>
    <n v="1088"/>
    <n v="0"/>
  </r>
  <r>
    <x v="195"/>
    <x v="145"/>
    <d v="2024-01-09T00:00:00"/>
    <x v="69"/>
    <x v="5"/>
    <n v="4"/>
    <n v="743"/>
    <n v="15"/>
    <x v="1"/>
    <x v="0"/>
    <n v="2972"/>
    <n v="-41608"/>
    <n v="44580"/>
  </r>
  <r>
    <x v="196"/>
    <x v="146"/>
    <d v="2024-01-08T00:00:00"/>
    <x v="143"/>
    <x v="38"/>
    <n v="4"/>
    <n v="1996"/>
    <n v="10"/>
    <x v="0"/>
    <x v="1"/>
    <n v="7984"/>
    <n v="-71856"/>
    <n v="79840"/>
  </r>
  <r>
    <x v="197"/>
    <x v="147"/>
    <d v="2024-01-08T00:00:00"/>
    <x v="144"/>
    <x v="48"/>
    <n v="4"/>
    <n v="1319"/>
    <n v="0"/>
    <x v="1"/>
    <x v="3"/>
    <n v="5276"/>
    <n v="5276"/>
    <n v="0"/>
  </r>
  <r>
    <x v="198"/>
    <x v="148"/>
    <d v="2024-01-07T00:00:00"/>
    <x v="145"/>
    <x v="54"/>
    <n v="4"/>
    <n v="683"/>
    <n v="5"/>
    <x v="2"/>
    <x v="1"/>
    <n v="2732"/>
    <n v="-10928"/>
    <n v="13660"/>
  </r>
  <r>
    <x v="199"/>
    <x v="149"/>
    <d v="2024-01-10T00:00:00"/>
    <x v="7"/>
    <x v="4"/>
    <n v="4"/>
    <n v="509"/>
    <n v="10"/>
    <x v="1"/>
    <x v="3"/>
    <n v="2036"/>
    <n v="-18324"/>
    <n v="20360"/>
  </r>
  <r>
    <x v="200"/>
    <x v="149"/>
    <d v="2024-01-09T00:00:00"/>
    <x v="146"/>
    <x v="88"/>
    <n v="4"/>
    <n v="1667"/>
    <n v="10"/>
    <x v="1"/>
    <x v="1"/>
    <n v="6668"/>
    <n v="-60012"/>
    <n v="66680"/>
  </r>
  <r>
    <x v="201"/>
    <x v="150"/>
    <d v="2024-01-08T00:00:00"/>
    <x v="147"/>
    <x v="89"/>
    <n v="4"/>
    <n v="670"/>
    <n v="10"/>
    <x v="2"/>
    <x v="2"/>
    <n v="2680"/>
    <n v="-24120"/>
    <n v="26800"/>
  </r>
  <r>
    <x v="202"/>
    <x v="151"/>
    <d v="2024-01-05T00:00:00"/>
    <x v="148"/>
    <x v="39"/>
    <n v="4"/>
    <n v="212"/>
    <n v="10"/>
    <x v="3"/>
    <x v="3"/>
    <n v="848"/>
    <n v="-7632"/>
    <n v="8480"/>
  </r>
  <r>
    <x v="203"/>
    <x v="152"/>
    <d v="2024-01-06T00:00:00"/>
    <x v="149"/>
    <x v="34"/>
    <n v="4"/>
    <n v="663"/>
    <n v="15"/>
    <x v="3"/>
    <x v="2"/>
    <n v="2652"/>
    <n v="-37128"/>
    <n v="39780"/>
  </r>
  <r>
    <x v="204"/>
    <x v="153"/>
    <d v="2024-01-08T00:00:00"/>
    <x v="69"/>
    <x v="19"/>
    <n v="4"/>
    <n v="378"/>
    <n v="0"/>
    <x v="2"/>
    <x v="2"/>
    <n v="1512"/>
    <n v="1512"/>
    <n v="0"/>
  </r>
  <r>
    <x v="205"/>
    <x v="153"/>
    <d v="2024-01-09T00:00:00"/>
    <x v="150"/>
    <x v="78"/>
    <n v="4"/>
    <n v="842"/>
    <n v="10"/>
    <x v="0"/>
    <x v="2"/>
    <n v="3368"/>
    <n v="-30312"/>
    <n v="33680"/>
  </r>
  <r>
    <x v="206"/>
    <x v="154"/>
    <d v="2024-01-08T00:00:00"/>
    <x v="1"/>
    <x v="10"/>
    <n v="4"/>
    <n v="1891"/>
    <n v="10"/>
    <x v="0"/>
    <x v="3"/>
    <n v="7564"/>
    <n v="-68076"/>
    <n v="75640"/>
  </r>
  <r>
    <x v="207"/>
    <x v="154"/>
    <d v="2024-01-08T00:00:00"/>
    <x v="122"/>
    <x v="82"/>
    <n v="4"/>
    <n v="694"/>
    <n v="10"/>
    <x v="2"/>
    <x v="0"/>
    <n v="2776"/>
    <n v="-24984"/>
    <n v="27760"/>
  </r>
  <r>
    <x v="208"/>
    <x v="155"/>
    <d v="2024-01-06T00:00:00"/>
    <x v="13"/>
    <x v="11"/>
    <n v="4"/>
    <n v="1979"/>
    <n v="15"/>
    <x v="3"/>
    <x v="3"/>
    <n v="7916"/>
    <n v="-110824"/>
    <n v="118740"/>
  </r>
  <r>
    <x v="209"/>
    <x v="156"/>
    <d v="2024-01-07T00:00:00"/>
    <x v="151"/>
    <x v="90"/>
    <n v="4"/>
    <n v="1157"/>
    <n v="5"/>
    <x v="1"/>
    <x v="2"/>
    <n v="4628"/>
    <n v="-18512"/>
    <n v="23140"/>
  </r>
  <r>
    <x v="210"/>
    <x v="156"/>
    <d v="2024-01-03T00:00:00"/>
    <x v="26"/>
    <x v="53"/>
    <n v="4"/>
    <n v="1368"/>
    <n v="5"/>
    <x v="3"/>
    <x v="2"/>
    <n v="5472"/>
    <n v="-21888"/>
    <n v="27360"/>
  </r>
  <r>
    <x v="211"/>
    <x v="156"/>
    <d v="2024-01-11T00:00:00"/>
    <x v="152"/>
    <x v="17"/>
    <n v="4"/>
    <n v="1324"/>
    <n v="5"/>
    <x v="0"/>
    <x v="0"/>
    <n v="5296"/>
    <n v="-21184"/>
    <n v="26480"/>
  </r>
  <r>
    <x v="212"/>
    <x v="157"/>
    <d v="2024-01-08T00:00:00"/>
    <x v="53"/>
    <x v="89"/>
    <n v="4"/>
    <n v="1591"/>
    <n v="10"/>
    <x v="0"/>
    <x v="3"/>
    <n v="6364"/>
    <n v="-57276"/>
    <n v="63640"/>
  </r>
  <r>
    <x v="213"/>
    <x v="157"/>
    <d v="2024-01-06T00:00:00"/>
    <x v="153"/>
    <x v="7"/>
    <n v="4"/>
    <n v="1842"/>
    <n v="0"/>
    <x v="2"/>
    <x v="2"/>
    <n v="7368"/>
    <n v="7368"/>
    <n v="0"/>
  </r>
  <r>
    <x v="214"/>
    <x v="158"/>
    <d v="2024-01-07T00:00:00"/>
    <x v="111"/>
    <x v="91"/>
    <n v="4"/>
    <n v="1849"/>
    <n v="0"/>
    <x v="1"/>
    <x v="1"/>
    <n v="7396"/>
    <n v="7396"/>
    <n v="0"/>
  </r>
  <r>
    <x v="215"/>
    <x v="158"/>
    <d v="2024-01-06T00:00:00"/>
    <x v="22"/>
    <x v="9"/>
    <n v="4"/>
    <n v="560"/>
    <n v="5"/>
    <x v="3"/>
    <x v="3"/>
    <n v="2240"/>
    <n v="-8960"/>
    <n v="11200"/>
  </r>
  <r>
    <x v="216"/>
    <x v="159"/>
    <d v="2024-01-03T00:00:00"/>
    <x v="154"/>
    <x v="62"/>
    <n v="4"/>
    <n v="859"/>
    <n v="10"/>
    <x v="3"/>
    <x v="2"/>
    <n v="3436"/>
    <n v="-30924"/>
    <n v="34360"/>
  </r>
  <r>
    <x v="217"/>
    <x v="159"/>
    <d v="2024-01-05T00:00:00"/>
    <x v="54"/>
    <x v="76"/>
    <n v="4"/>
    <n v="1025"/>
    <n v="0"/>
    <x v="3"/>
    <x v="0"/>
    <n v="4100"/>
    <n v="4100"/>
    <n v="0"/>
  </r>
  <r>
    <x v="218"/>
    <x v="159"/>
    <d v="2024-01-06T00:00:00"/>
    <x v="155"/>
    <x v="88"/>
    <n v="4"/>
    <n v="943"/>
    <n v="5"/>
    <x v="0"/>
    <x v="0"/>
    <n v="3772"/>
    <n v="-15088"/>
    <n v="18860"/>
  </r>
  <r>
    <x v="219"/>
    <x v="159"/>
    <d v="2024-01-10T00:00:00"/>
    <x v="156"/>
    <x v="79"/>
    <n v="4"/>
    <n v="841"/>
    <n v="10"/>
    <x v="3"/>
    <x v="0"/>
    <n v="3364"/>
    <n v="-30276"/>
    <n v="33640"/>
  </r>
  <r>
    <x v="220"/>
    <x v="160"/>
    <d v="2024-01-07T00:00:00"/>
    <x v="143"/>
    <x v="9"/>
    <n v="4"/>
    <n v="1164"/>
    <n v="5"/>
    <x v="1"/>
    <x v="1"/>
    <n v="4656"/>
    <n v="-18624"/>
    <n v="23280"/>
  </r>
  <r>
    <x v="221"/>
    <x v="161"/>
    <d v="2024-01-07T00:00:00"/>
    <x v="152"/>
    <x v="18"/>
    <n v="4"/>
    <n v="1984"/>
    <n v="15"/>
    <x v="3"/>
    <x v="0"/>
    <n v="7936"/>
    <n v="-111104"/>
    <n v="119040"/>
  </r>
  <r>
    <x v="222"/>
    <x v="162"/>
    <d v="2024-01-08T00:00:00"/>
    <x v="157"/>
    <x v="30"/>
    <n v="4"/>
    <n v="1848"/>
    <n v="5"/>
    <x v="1"/>
    <x v="1"/>
    <n v="7392"/>
    <n v="-29568"/>
    <n v="36960"/>
  </r>
  <r>
    <x v="223"/>
    <x v="163"/>
    <d v="2024-01-09T00:00:00"/>
    <x v="158"/>
    <x v="82"/>
    <n v="4"/>
    <n v="1210"/>
    <n v="15"/>
    <x v="3"/>
    <x v="1"/>
    <n v="4840"/>
    <n v="-67760"/>
    <n v="72600"/>
  </r>
  <r>
    <x v="224"/>
    <x v="164"/>
    <d v="2024-01-11T00:00:00"/>
    <x v="50"/>
    <x v="44"/>
    <n v="4"/>
    <n v="1812"/>
    <n v="15"/>
    <x v="3"/>
    <x v="3"/>
    <n v="7248"/>
    <n v="-101472"/>
    <n v="108720"/>
  </r>
  <r>
    <x v="225"/>
    <x v="165"/>
    <d v="2024-01-09T00:00:00"/>
    <x v="85"/>
    <x v="91"/>
    <n v="4"/>
    <n v="1829"/>
    <n v="15"/>
    <x v="3"/>
    <x v="2"/>
    <n v="7316"/>
    <n v="-102424"/>
    <n v="109740"/>
  </r>
  <r>
    <x v="226"/>
    <x v="166"/>
    <d v="2024-01-04T00:00:00"/>
    <x v="111"/>
    <x v="63"/>
    <n v="4"/>
    <n v="1630"/>
    <n v="5"/>
    <x v="1"/>
    <x v="2"/>
    <n v="6520"/>
    <n v="-26080"/>
    <n v="32600"/>
  </r>
  <r>
    <x v="227"/>
    <x v="166"/>
    <d v="2024-01-04T00:00:00"/>
    <x v="110"/>
    <x v="58"/>
    <n v="4"/>
    <n v="1725"/>
    <n v="15"/>
    <x v="0"/>
    <x v="1"/>
    <n v="6900"/>
    <n v="-96600"/>
    <n v="103500"/>
  </r>
  <r>
    <x v="228"/>
    <x v="167"/>
    <d v="2024-01-04T00:00:00"/>
    <x v="8"/>
    <x v="56"/>
    <n v="4"/>
    <n v="1512"/>
    <n v="10"/>
    <x v="3"/>
    <x v="3"/>
    <n v="6048"/>
    <n v="-54432"/>
    <n v="60480"/>
  </r>
  <r>
    <x v="229"/>
    <x v="167"/>
    <d v="2024-01-03T00:00:00"/>
    <x v="65"/>
    <x v="92"/>
    <n v="4"/>
    <n v="1988"/>
    <n v="0"/>
    <x v="2"/>
    <x v="2"/>
    <n v="7952"/>
    <n v="7952"/>
    <n v="0"/>
  </r>
  <r>
    <x v="230"/>
    <x v="168"/>
    <d v="2024-01-03T00:00:00"/>
    <x v="9"/>
    <x v="22"/>
    <n v="4"/>
    <n v="1674"/>
    <n v="0"/>
    <x v="0"/>
    <x v="1"/>
    <n v="6696"/>
    <n v="6696"/>
    <n v="0"/>
  </r>
  <r>
    <x v="231"/>
    <x v="169"/>
    <d v="2024-01-04T00:00:00"/>
    <x v="47"/>
    <x v="46"/>
    <n v="4"/>
    <n v="1974"/>
    <n v="0"/>
    <x v="2"/>
    <x v="1"/>
    <n v="7896"/>
    <n v="7896"/>
    <n v="0"/>
  </r>
  <r>
    <x v="232"/>
    <x v="169"/>
    <d v="2024-01-08T00:00:00"/>
    <x v="159"/>
    <x v="91"/>
    <n v="4"/>
    <n v="1852"/>
    <n v="5"/>
    <x v="1"/>
    <x v="3"/>
    <n v="7408"/>
    <n v="-29632"/>
    <n v="37040"/>
  </r>
  <r>
    <x v="233"/>
    <x v="170"/>
    <d v="2024-01-05T00:00:00"/>
    <x v="160"/>
    <x v="36"/>
    <n v="4"/>
    <n v="1055"/>
    <n v="10"/>
    <x v="0"/>
    <x v="2"/>
    <n v="4220"/>
    <n v="-37980"/>
    <n v="42200"/>
  </r>
  <r>
    <x v="234"/>
    <x v="171"/>
    <d v="2024-01-11T00:00:00"/>
    <x v="91"/>
    <x v="9"/>
    <n v="4"/>
    <n v="1257"/>
    <n v="10"/>
    <x v="1"/>
    <x v="1"/>
    <n v="5028"/>
    <n v="-45252"/>
    <n v="50280"/>
  </r>
  <r>
    <x v="235"/>
    <x v="171"/>
    <d v="2024-01-11T00:00:00"/>
    <x v="161"/>
    <x v="31"/>
    <n v="4"/>
    <n v="1579"/>
    <n v="0"/>
    <x v="2"/>
    <x v="0"/>
    <n v="6316"/>
    <n v="6316"/>
    <n v="0"/>
  </r>
  <r>
    <x v="236"/>
    <x v="171"/>
    <d v="2024-01-05T00:00:00"/>
    <x v="44"/>
    <x v="1"/>
    <n v="4"/>
    <n v="834"/>
    <n v="5"/>
    <x v="0"/>
    <x v="1"/>
    <n v="3336"/>
    <n v="-13344"/>
    <n v="16680"/>
  </r>
  <r>
    <x v="237"/>
    <x v="172"/>
    <d v="2024-01-04T00:00:00"/>
    <x v="0"/>
    <x v="70"/>
    <n v="4"/>
    <n v="613"/>
    <n v="5"/>
    <x v="3"/>
    <x v="2"/>
    <n v="2452"/>
    <n v="-9808"/>
    <n v="12260"/>
  </r>
  <r>
    <x v="238"/>
    <x v="173"/>
    <d v="2024-01-08T00:00:00"/>
    <x v="91"/>
    <x v="77"/>
    <n v="4"/>
    <n v="1089"/>
    <n v="10"/>
    <x v="0"/>
    <x v="3"/>
    <n v="4356"/>
    <n v="-39204"/>
    <n v="43560"/>
  </r>
  <r>
    <x v="239"/>
    <x v="174"/>
    <d v="2024-01-11T00:00:00"/>
    <x v="162"/>
    <x v="33"/>
    <n v="4"/>
    <n v="1139"/>
    <n v="5"/>
    <x v="0"/>
    <x v="2"/>
    <n v="4556"/>
    <n v="-18224"/>
    <n v="22780"/>
  </r>
  <r>
    <x v="240"/>
    <x v="175"/>
    <d v="2024-01-08T00:00:00"/>
    <x v="100"/>
    <x v="58"/>
    <n v="4"/>
    <n v="1452"/>
    <n v="5"/>
    <x v="1"/>
    <x v="3"/>
    <n v="5808"/>
    <n v="-23232"/>
    <n v="29040"/>
  </r>
  <r>
    <x v="241"/>
    <x v="176"/>
    <d v="2024-01-11T00:00:00"/>
    <x v="163"/>
    <x v="71"/>
    <n v="4"/>
    <n v="695"/>
    <n v="15"/>
    <x v="1"/>
    <x v="0"/>
    <n v="2780"/>
    <n v="-38920"/>
    <n v="41700"/>
  </r>
  <r>
    <x v="242"/>
    <x v="3"/>
    <d v="2024-01-09T00:00:00"/>
    <x v="164"/>
    <x v="22"/>
    <n v="3"/>
    <n v="1153"/>
    <n v="15"/>
    <x v="3"/>
    <x v="0"/>
    <n v="3459"/>
    <n v="-48426"/>
    <n v="51885"/>
  </r>
  <r>
    <x v="243"/>
    <x v="177"/>
    <d v="2024-01-11T00:00:00"/>
    <x v="165"/>
    <x v="69"/>
    <n v="3"/>
    <n v="1235"/>
    <n v="15"/>
    <x v="2"/>
    <x v="0"/>
    <n v="3705"/>
    <n v="-51870"/>
    <n v="55575"/>
  </r>
  <r>
    <x v="244"/>
    <x v="5"/>
    <d v="2024-01-09T00:00:00"/>
    <x v="166"/>
    <x v="4"/>
    <n v="3"/>
    <n v="1527"/>
    <n v="15"/>
    <x v="2"/>
    <x v="3"/>
    <n v="4581"/>
    <n v="-64134"/>
    <n v="68715"/>
  </r>
  <r>
    <x v="245"/>
    <x v="5"/>
    <d v="2024-01-10T00:00:00"/>
    <x v="123"/>
    <x v="70"/>
    <n v="3"/>
    <n v="1999"/>
    <n v="0"/>
    <x v="2"/>
    <x v="3"/>
    <n v="5997"/>
    <n v="5997"/>
    <n v="0"/>
  </r>
  <r>
    <x v="246"/>
    <x v="178"/>
    <d v="2024-01-04T00:00:00"/>
    <x v="167"/>
    <x v="79"/>
    <n v="3"/>
    <n v="1165"/>
    <n v="5"/>
    <x v="0"/>
    <x v="3"/>
    <n v="3495"/>
    <n v="-13980"/>
    <n v="17475"/>
  </r>
  <r>
    <x v="247"/>
    <x v="7"/>
    <d v="2024-01-04T00:00:00"/>
    <x v="168"/>
    <x v="93"/>
    <n v="3"/>
    <n v="1829"/>
    <n v="10"/>
    <x v="0"/>
    <x v="1"/>
    <n v="5487"/>
    <n v="-49383"/>
    <n v="54870"/>
  </r>
  <r>
    <x v="248"/>
    <x v="7"/>
    <d v="2024-01-10T00:00:00"/>
    <x v="41"/>
    <x v="61"/>
    <n v="3"/>
    <n v="1253"/>
    <n v="0"/>
    <x v="1"/>
    <x v="1"/>
    <n v="3759"/>
    <n v="3759"/>
    <n v="0"/>
  </r>
  <r>
    <x v="249"/>
    <x v="8"/>
    <d v="2024-01-10T00:00:00"/>
    <x v="169"/>
    <x v="27"/>
    <n v="3"/>
    <n v="1587"/>
    <n v="15"/>
    <x v="1"/>
    <x v="1"/>
    <n v="4761"/>
    <n v="-66654"/>
    <n v="71415"/>
  </r>
  <r>
    <x v="250"/>
    <x v="179"/>
    <d v="2024-01-06T00:00:00"/>
    <x v="101"/>
    <x v="35"/>
    <n v="3"/>
    <n v="1770"/>
    <n v="0"/>
    <x v="0"/>
    <x v="2"/>
    <n v="5310"/>
    <n v="5310"/>
    <n v="0"/>
  </r>
  <r>
    <x v="251"/>
    <x v="179"/>
    <d v="2024-01-03T00:00:00"/>
    <x v="23"/>
    <x v="36"/>
    <n v="3"/>
    <n v="1777"/>
    <n v="0"/>
    <x v="1"/>
    <x v="0"/>
    <n v="5331"/>
    <n v="5331"/>
    <n v="0"/>
  </r>
  <r>
    <x v="252"/>
    <x v="180"/>
    <d v="2024-01-05T00:00:00"/>
    <x v="129"/>
    <x v="73"/>
    <n v="3"/>
    <n v="502"/>
    <n v="15"/>
    <x v="3"/>
    <x v="3"/>
    <n v="1506"/>
    <n v="-21084"/>
    <n v="22590"/>
  </r>
  <r>
    <x v="253"/>
    <x v="10"/>
    <d v="2024-01-07T00:00:00"/>
    <x v="50"/>
    <x v="46"/>
    <n v="3"/>
    <n v="273"/>
    <n v="5"/>
    <x v="0"/>
    <x v="3"/>
    <n v="819"/>
    <n v="-3276"/>
    <n v="4095"/>
  </r>
  <r>
    <x v="254"/>
    <x v="181"/>
    <d v="2024-01-03T00:00:00"/>
    <x v="170"/>
    <x v="94"/>
    <n v="3"/>
    <n v="477"/>
    <n v="15"/>
    <x v="3"/>
    <x v="3"/>
    <n v="1431"/>
    <n v="-20034"/>
    <n v="21465"/>
  </r>
  <r>
    <x v="255"/>
    <x v="12"/>
    <d v="2024-01-07T00:00:00"/>
    <x v="34"/>
    <x v="40"/>
    <n v="3"/>
    <n v="1733"/>
    <n v="5"/>
    <x v="1"/>
    <x v="2"/>
    <n v="5199"/>
    <n v="-20796"/>
    <n v="25995"/>
  </r>
  <r>
    <x v="256"/>
    <x v="182"/>
    <d v="2024-01-07T00:00:00"/>
    <x v="123"/>
    <x v="42"/>
    <n v="3"/>
    <n v="1400"/>
    <n v="10"/>
    <x v="1"/>
    <x v="1"/>
    <n v="4200"/>
    <n v="-37800"/>
    <n v="42000"/>
  </r>
  <r>
    <x v="257"/>
    <x v="182"/>
    <d v="2024-01-05T00:00:00"/>
    <x v="171"/>
    <x v="71"/>
    <n v="3"/>
    <n v="1432"/>
    <n v="15"/>
    <x v="3"/>
    <x v="0"/>
    <n v="4296"/>
    <n v="-60144"/>
    <n v="64440"/>
  </r>
  <r>
    <x v="258"/>
    <x v="183"/>
    <d v="2024-01-08T00:00:00"/>
    <x v="172"/>
    <x v="74"/>
    <n v="3"/>
    <n v="894"/>
    <n v="10"/>
    <x v="0"/>
    <x v="1"/>
    <n v="2682"/>
    <n v="-24138"/>
    <n v="26820"/>
  </r>
  <r>
    <x v="259"/>
    <x v="184"/>
    <d v="2024-01-08T00:00:00"/>
    <x v="96"/>
    <x v="34"/>
    <n v="3"/>
    <n v="1636"/>
    <n v="0"/>
    <x v="1"/>
    <x v="1"/>
    <n v="4908"/>
    <n v="4908"/>
    <n v="0"/>
  </r>
  <r>
    <x v="260"/>
    <x v="185"/>
    <d v="2024-01-08T00:00:00"/>
    <x v="173"/>
    <x v="71"/>
    <n v="3"/>
    <n v="1568"/>
    <n v="0"/>
    <x v="1"/>
    <x v="2"/>
    <n v="4704"/>
    <n v="4704"/>
    <n v="0"/>
  </r>
  <r>
    <x v="261"/>
    <x v="186"/>
    <d v="2024-01-04T00:00:00"/>
    <x v="174"/>
    <x v="16"/>
    <n v="3"/>
    <n v="1452"/>
    <n v="10"/>
    <x v="2"/>
    <x v="2"/>
    <n v="4356"/>
    <n v="-39204"/>
    <n v="43560"/>
  </r>
  <r>
    <x v="262"/>
    <x v="186"/>
    <d v="2024-01-04T00:00:00"/>
    <x v="130"/>
    <x v="82"/>
    <n v="3"/>
    <n v="1925"/>
    <n v="5"/>
    <x v="0"/>
    <x v="2"/>
    <n v="5775"/>
    <n v="-23100"/>
    <n v="28875"/>
  </r>
  <r>
    <x v="263"/>
    <x v="16"/>
    <d v="2024-01-08T00:00:00"/>
    <x v="56"/>
    <x v="61"/>
    <n v="3"/>
    <n v="1510"/>
    <n v="10"/>
    <x v="0"/>
    <x v="2"/>
    <n v="4530"/>
    <n v="-40770"/>
    <n v="45300"/>
  </r>
  <r>
    <x v="264"/>
    <x v="187"/>
    <d v="2024-01-05T00:00:00"/>
    <x v="1"/>
    <x v="77"/>
    <n v="3"/>
    <n v="907"/>
    <n v="5"/>
    <x v="1"/>
    <x v="2"/>
    <n v="2721"/>
    <n v="-10884"/>
    <n v="13605"/>
  </r>
  <r>
    <x v="265"/>
    <x v="187"/>
    <d v="2024-01-04T00:00:00"/>
    <x v="175"/>
    <x v="8"/>
    <n v="3"/>
    <n v="1992"/>
    <n v="15"/>
    <x v="2"/>
    <x v="2"/>
    <n v="5976"/>
    <n v="-83664"/>
    <n v="89640"/>
  </r>
  <r>
    <x v="266"/>
    <x v="188"/>
    <d v="2024-01-03T00:00:00"/>
    <x v="176"/>
    <x v="25"/>
    <n v="3"/>
    <n v="1011"/>
    <n v="15"/>
    <x v="3"/>
    <x v="1"/>
    <n v="3033"/>
    <n v="-42462"/>
    <n v="45495"/>
  </r>
  <r>
    <x v="267"/>
    <x v="189"/>
    <d v="2024-01-10T00:00:00"/>
    <x v="8"/>
    <x v="40"/>
    <n v="3"/>
    <n v="1602"/>
    <n v="15"/>
    <x v="2"/>
    <x v="2"/>
    <n v="4806"/>
    <n v="-67284"/>
    <n v="72090"/>
  </r>
  <r>
    <x v="268"/>
    <x v="189"/>
    <d v="2024-01-04T00:00:00"/>
    <x v="12"/>
    <x v="66"/>
    <n v="3"/>
    <n v="1387"/>
    <n v="10"/>
    <x v="0"/>
    <x v="2"/>
    <n v="4161"/>
    <n v="-37449"/>
    <n v="41610"/>
  </r>
  <r>
    <x v="269"/>
    <x v="17"/>
    <d v="2024-01-11T00:00:00"/>
    <x v="124"/>
    <x v="30"/>
    <n v="3"/>
    <n v="586"/>
    <n v="10"/>
    <x v="2"/>
    <x v="2"/>
    <n v="1758"/>
    <n v="-15822"/>
    <n v="17580"/>
  </r>
  <r>
    <x v="270"/>
    <x v="17"/>
    <d v="2024-01-10T00:00:00"/>
    <x v="64"/>
    <x v="28"/>
    <n v="3"/>
    <n v="1768"/>
    <n v="5"/>
    <x v="3"/>
    <x v="2"/>
    <n v="5304"/>
    <n v="-21216"/>
    <n v="26520"/>
  </r>
  <r>
    <x v="271"/>
    <x v="18"/>
    <d v="2024-01-10T00:00:00"/>
    <x v="99"/>
    <x v="26"/>
    <n v="3"/>
    <n v="1115"/>
    <n v="5"/>
    <x v="1"/>
    <x v="3"/>
    <n v="3345"/>
    <n v="-13380"/>
    <n v="16725"/>
  </r>
  <r>
    <x v="272"/>
    <x v="190"/>
    <d v="2024-01-09T00:00:00"/>
    <x v="177"/>
    <x v="68"/>
    <n v="3"/>
    <n v="1457"/>
    <n v="10"/>
    <x v="2"/>
    <x v="3"/>
    <n v="4371"/>
    <n v="-39339"/>
    <n v="43710"/>
  </r>
  <r>
    <x v="273"/>
    <x v="191"/>
    <d v="2024-01-04T00:00:00"/>
    <x v="178"/>
    <x v="66"/>
    <n v="3"/>
    <n v="1611"/>
    <n v="0"/>
    <x v="2"/>
    <x v="1"/>
    <n v="4833"/>
    <n v="4833"/>
    <n v="0"/>
  </r>
  <r>
    <x v="274"/>
    <x v="191"/>
    <d v="2024-01-08T00:00:00"/>
    <x v="174"/>
    <x v="50"/>
    <n v="3"/>
    <n v="1989"/>
    <n v="10"/>
    <x v="0"/>
    <x v="0"/>
    <n v="5967"/>
    <n v="-53703"/>
    <n v="59670"/>
  </r>
  <r>
    <x v="275"/>
    <x v="191"/>
    <d v="2024-01-06T00:00:00"/>
    <x v="107"/>
    <x v="29"/>
    <n v="3"/>
    <n v="905"/>
    <n v="5"/>
    <x v="1"/>
    <x v="1"/>
    <n v="2715"/>
    <n v="-10860"/>
    <n v="13575"/>
  </r>
  <r>
    <x v="276"/>
    <x v="25"/>
    <d v="2024-01-05T00:00:00"/>
    <x v="35"/>
    <x v="36"/>
    <n v="3"/>
    <n v="1793"/>
    <n v="10"/>
    <x v="0"/>
    <x v="0"/>
    <n v="5379"/>
    <n v="-48411"/>
    <n v="53790"/>
  </r>
  <r>
    <x v="277"/>
    <x v="192"/>
    <d v="2024-01-04T00:00:00"/>
    <x v="17"/>
    <x v="42"/>
    <n v="3"/>
    <n v="806"/>
    <n v="0"/>
    <x v="0"/>
    <x v="1"/>
    <n v="2418"/>
    <n v="2418"/>
    <n v="0"/>
  </r>
  <r>
    <x v="278"/>
    <x v="28"/>
    <d v="2024-01-11T00:00:00"/>
    <x v="133"/>
    <x v="1"/>
    <n v="3"/>
    <n v="1627"/>
    <n v="0"/>
    <x v="1"/>
    <x v="0"/>
    <n v="4881"/>
    <n v="4881"/>
    <n v="0"/>
  </r>
  <r>
    <x v="279"/>
    <x v="193"/>
    <d v="2024-01-08T00:00:00"/>
    <x v="179"/>
    <x v="33"/>
    <n v="3"/>
    <n v="1752"/>
    <n v="5"/>
    <x v="2"/>
    <x v="3"/>
    <n v="5256"/>
    <n v="-21024"/>
    <n v="26280"/>
  </r>
  <r>
    <x v="280"/>
    <x v="194"/>
    <d v="2024-01-05T00:00:00"/>
    <x v="180"/>
    <x v="10"/>
    <n v="3"/>
    <n v="556"/>
    <n v="15"/>
    <x v="1"/>
    <x v="0"/>
    <n v="1668"/>
    <n v="-23352"/>
    <n v="25020"/>
  </r>
  <r>
    <x v="281"/>
    <x v="33"/>
    <d v="2024-01-05T00:00:00"/>
    <x v="181"/>
    <x v="87"/>
    <n v="3"/>
    <n v="1788"/>
    <n v="15"/>
    <x v="1"/>
    <x v="2"/>
    <n v="5364"/>
    <n v="-75096"/>
    <n v="80460"/>
  </r>
  <r>
    <x v="282"/>
    <x v="33"/>
    <d v="2024-01-03T00:00:00"/>
    <x v="182"/>
    <x v="95"/>
    <n v="3"/>
    <n v="388"/>
    <n v="5"/>
    <x v="2"/>
    <x v="1"/>
    <n v="1164"/>
    <n v="-4656"/>
    <n v="5820"/>
  </r>
  <r>
    <x v="283"/>
    <x v="195"/>
    <d v="2024-01-08T00:00:00"/>
    <x v="183"/>
    <x v="66"/>
    <n v="3"/>
    <n v="1671"/>
    <n v="0"/>
    <x v="0"/>
    <x v="1"/>
    <n v="5013"/>
    <n v="5013"/>
    <n v="0"/>
  </r>
  <r>
    <x v="284"/>
    <x v="34"/>
    <d v="2024-01-07T00:00:00"/>
    <x v="184"/>
    <x v="1"/>
    <n v="3"/>
    <n v="574"/>
    <n v="10"/>
    <x v="3"/>
    <x v="3"/>
    <n v="1722"/>
    <n v="-15498"/>
    <n v="17220"/>
  </r>
  <r>
    <x v="285"/>
    <x v="196"/>
    <d v="2024-01-07T00:00:00"/>
    <x v="58"/>
    <x v="30"/>
    <n v="3"/>
    <n v="265"/>
    <n v="15"/>
    <x v="3"/>
    <x v="2"/>
    <n v="795"/>
    <n v="-11130"/>
    <n v="11925"/>
  </r>
  <r>
    <x v="286"/>
    <x v="197"/>
    <d v="2024-01-03T00:00:00"/>
    <x v="185"/>
    <x v="96"/>
    <n v="3"/>
    <n v="1942"/>
    <n v="10"/>
    <x v="3"/>
    <x v="3"/>
    <n v="5826"/>
    <n v="-52434"/>
    <n v="58260"/>
  </r>
  <r>
    <x v="287"/>
    <x v="36"/>
    <d v="2024-01-09T00:00:00"/>
    <x v="186"/>
    <x v="95"/>
    <n v="3"/>
    <n v="776"/>
    <n v="5"/>
    <x v="2"/>
    <x v="0"/>
    <n v="2328"/>
    <n v="-9312"/>
    <n v="11640"/>
  </r>
  <r>
    <x v="288"/>
    <x v="37"/>
    <d v="2024-01-09T00:00:00"/>
    <x v="165"/>
    <x v="4"/>
    <n v="3"/>
    <n v="1872"/>
    <n v="5"/>
    <x v="1"/>
    <x v="0"/>
    <n v="5616"/>
    <n v="-22464"/>
    <n v="28080"/>
  </r>
  <r>
    <x v="289"/>
    <x v="198"/>
    <d v="2024-01-06T00:00:00"/>
    <x v="52"/>
    <x v="36"/>
    <n v="3"/>
    <n v="368"/>
    <n v="10"/>
    <x v="3"/>
    <x v="1"/>
    <n v="1104"/>
    <n v="-9936"/>
    <n v="11040"/>
  </r>
  <r>
    <x v="290"/>
    <x v="199"/>
    <d v="2024-01-10T00:00:00"/>
    <x v="187"/>
    <x v="44"/>
    <n v="3"/>
    <n v="1388"/>
    <n v="5"/>
    <x v="3"/>
    <x v="0"/>
    <n v="4164"/>
    <n v="-16656"/>
    <n v="20820"/>
  </r>
  <r>
    <x v="291"/>
    <x v="200"/>
    <d v="2024-01-03T00:00:00"/>
    <x v="53"/>
    <x v="77"/>
    <n v="3"/>
    <n v="273"/>
    <n v="0"/>
    <x v="0"/>
    <x v="2"/>
    <n v="819"/>
    <n v="819"/>
    <n v="0"/>
  </r>
  <r>
    <x v="292"/>
    <x v="201"/>
    <d v="2024-01-11T00:00:00"/>
    <x v="188"/>
    <x v="21"/>
    <n v="3"/>
    <n v="850"/>
    <n v="15"/>
    <x v="1"/>
    <x v="1"/>
    <n v="2550"/>
    <n v="-35700"/>
    <n v="38250"/>
  </r>
  <r>
    <x v="293"/>
    <x v="201"/>
    <d v="2024-01-03T00:00:00"/>
    <x v="189"/>
    <x v="47"/>
    <n v="3"/>
    <n v="1103"/>
    <n v="0"/>
    <x v="1"/>
    <x v="3"/>
    <n v="3309"/>
    <n v="3309"/>
    <n v="0"/>
  </r>
  <r>
    <x v="294"/>
    <x v="43"/>
    <d v="2024-01-07T00:00:00"/>
    <x v="129"/>
    <x v="97"/>
    <n v="3"/>
    <n v="1524"/>
    <n v="10"/>
    <x v="2"/>
    <x v="3"/>
    <n v="4572"/>
    <n v="-41148"/>
    <n v="45720"/>
  </r>
  <r>
    <x v="295"/>
    <x v="43"/>
    <d v="2024-01-09T00:00:00"/>
    <x v="11"/>
    <x v="83"/>
    <n v="3"/>
    <n v="1886"/>
    <n v="10"/>
    <x v="0"/>
    <x v="3"/>
    <n v="5658"/>
    <n v="-50922"/>
    <n v="56580"/>
  </r>
  <r>
    <x v="296"/>
    <x v="45"/>
    <d v="2024-01-11T00:00:00"/>
    <x v="190"/>
    <x v="86"/>
    <n v="3"/>
    <n v="796"/>
    <n v="5"/>
    <x v="1"/>
    <x v="2"/>
    <n v="2388"/>
    <n v="-9552"/>
    <n v="11940"/>
  </r>
  <r>
    <x v="297"/>
    <x v="202"/>
    <d v="2024-01-07T00:00:00"/>
    <x v="75"/>
    <x v="19"/>
    <n v="3"/>
    <n v="1850"/>
    <n v="10"/>
    <x v="0"/>
    <x v="0"/>
    <n v="5550"/>
    <n v="-49950"/>
    <n v="55500"/>
  </r>
  <r>
    <x v="298"/>
    <x v="202"/>
    <d v="2024-01-11T00:00:00"/>
    <x v="181"/>
    <x v="51"/>
    <n v="3"/>
    <n v="573"/>
    <n v="15"/>
    <x v="2"/>
    <x v="3"/>
    <n v="1719"/>
    <n v="-24066"/>
    <n v="25785"/>
  </r>
  <r>
    <x v="299"/>
    <x v="203"/>
    <d v="2024-01-07T00:00:00"/>
    <x v="118"/>
    <x v="0"/>
    <n v="3"/>
    <n v="1334"/>
    <n v="10"/>
    <x v="2"/>
    <x v="2"/>
    <n v="4002"/>
    <n v="-36018"/>
    <n v="40020"/>
  </r>
  <r>
    <x v="300"/>
    <x v="47"/>
    <d v="2024-01-07T00:00:00"/>
    <x v="41"/>
    <x v="68"/>
    <n v="3"/>
    <n v="1280"/>
    <n v="0"/>
    <x v="2"/>
    <x v="2"/>
    <n v="3840"/>
    <n v="3840"/>
    <n v="0"/>
  </r>
  <r>
    <x v="301"/>
    <x v="47"/>
    <d v="2024-01-05T00:00:00"/>
    <x v="38"/>
    <x v="25"/>
    <n v="3"/>
    <n v="1874"/>
    <n v="10"/>
    <x v="3"/>
    <x v="3"/>
    <n v="5622"/>
    <n v="-50598"/>
    <n v="56220"/>
  </r>
  <r>
    <x v="302"/>
    <x v="204"/>
    <d v="2024-01-04T00:00:00"/>
    <x v="161"/>
    <x v="96"/>
    <n v="3"/>
    <n v="1830"/>
    <n v="0"/>
    <x v="1"/>
    <x v="0"/>
    <n v="5490"/>
    <n v="5490"/>
    <n v="0"/>
  </r>
  <r>
    <x v="303"/>
    <x v="49"/>
    <d v="2024-01-04T00:00:00"/>
    <x v="191"/>
    <x v="3"/>
    <n v="3"/>
    <n v="1013"/>
    <n v="0"/>
    <x v="3"/>
    <x v="0"/>
    <n v="3039"/>
    <n v="3039"/>
    <n v="0"/>
  </r>
  <r>
    <x v="304"/>
    <x v="49"/>
    <d v="2024-01-08T00:00:00"/>
    <x v="99"/>
    <x v="84"/>
    <n v="3"/>
    <n v="958"/>
    <n v="10"/>
    <x v="1"/>
    <x v="3"/>
    <n v="2874"/>
    <n v="-25866"/>
    <n v="28740"/>
  </r>
  <r>
    <x v="305"/>
    <x v="205"/>
    <d v="2024-01-06T00:00:00"/>
    <x v="3"/>
    <x v="18"/>
    <n v="3"/>
    <n v="345"/>
    <n v="0"/>
    <x v="0"/>
    <x v="2"/>
    <n v="1035"/>
    <n v="1035"/>
    <n v="0"/>
  </r>
  <r>
    <x v="306"/>
    <x v="205"/>
    <d v="2024-01-09T00:00:00"/>
    <x v="58"/>
    <x v="51"/>
    <n v="3"/>
    <n v="1437"/>
    <n v="10"/>
    <x v="0"/>
    <x v="2"/>
    <n v="4311"/>
    <n v="-38799"/>
    <n v="43110"/>
  </r>
  <r>
    <x v="307"/>
    <x v="50"/>
    <d v="2024-01-07T00:00:00"/>
    <x v="192"/>
    <x v="98"/>
    <n v="3"/>
    <n v="385"/>
    <n v="15"/>
    <x v="0"/>
    <x v="3"/>
    <n v="1155"/>
    <n v="-16170"/>
    <n v="17325"/>
  </r>
  <r>
    <x v="308"/>
    <x v="206"/>
    <d v="2024-01-09T00:00:00"/>
    <x v="193"/>
    <x v="74"/>
    <n v="3"/>
    <n v="585"/>
    <n v="15"/>
    <x v="3"/>
    <x v="0"/>
    <n v="1755"/>
    <n v="-24570"/>
    <n v="26325"/>
  </r>
  <r>
    <x v="309"/>
    <x v="206"/>
    <d v="2024-01-09T00:00:00"/>
    <x v="174"/>
    <x v="14"/>
    <n v="3"/>
    <n v="227"/>
    <n v="5"/>
    <x v="1"/>
    <x v="1"/>
    <n v="681"/>
    <n v="-2724"/>
    <n v="3405"/>
  </r>
  <r>
    <x v="310"/>
    <x v="207"/>
    <d v="2024-01-04T00:00:00"/>
    <x v="92"/>
    <x v="23"/>
    <n v="3"/>
    <n v="1078"/>
    <n v="0"/>
    <x v="3"/>
    <x v="0"/>
    <n v="3234"/>
    <n v="3234"/>
    <n v="0"/>
  </r>
  <r>
    <x v="311"/>
    <x v="51"/>
    <d v="2024-01-10T00:00:00"/>
    <x v="11"/>
    <x v="2"/>
    <n v="3"/>
    <n v="1514"/>
    <n v="10"/>
    <x v="0"/>
    <x v="0"/>
    <n v="4542"/>
    <n v="-40878"/>
    <n v="45420"/>
  </r>
  <r>
    <x v="312"/>
    <x v="51"/>
    <d v="2024-01-05T00:00:00"/>
    <x v="23"/>
    <x v="72"/>
    <n v="3"/>
    <n v="655"/>
    <n v="0"/>
    <x v="2"/>
    <x v="0"/>
    <n v="1965"/>
    <n v="1965"/>
    <n v="0"/>
  </r>
  <r>
    <x v="313"/>
    <x v="208"/>
    <d v="2024-01-05T00:00:00"/>
    <x v="194"/>
    <x v="96"/>
    <n v="3"/>
    <n v="1552"/>
    <n v="5"/>
    <x v="2"/>
    <x v="3"/>
    <n v="4656"/>
    <n v="-18624"/>
    <n v="23280"/>
  </r>
  <r>
    <x v="314"/>
    <x v="56"/>
    <d v="2024-01-06T00:00:00"/>
    <x v="140"/>
    <x v="31"/>
    <n v="3"/>
    <n v="1458"/>
    <n v="10"/>
    <x v="2"/>
    <x v="3"/>
    <n v="4374"/>
    <n v="-39366"/>
    <n v="43740"/>
  </r>
  <r>
    <x v="315"/>
    <x v="57"/>
    <d v="2024-01-05T00:00:00"/>
    <x v="195"/>
    <x v="22"/>
    <n v="3"/>
    <n v="1591"/>
    <n v="15"/>
    <x v="0"/>
    <x v="1"/>
    <n v="4773"/>
    <n v="-66822"/>
    <n v="71595"/>
  </r>
  <r>
    <x v="316"/>
    <x v="57"/>
    <d v="2024-01-11T00:00:00"/>
    <x v="33"/>
    <x v="99"/>
    <n v="3"/>
    <n v="1615"/>
    <n v="10"/>
    <x v="3"/>
    <x v="0"/>
    <n v="4845"/>
    <n v="-43605"/>
    <n v="48450"/>
  </r>
  <r>
    <x v="317"/>
    <x v="57"/>
    <d v="2024-01-11T00:00:00"/>
    <x v="116"/>
    <x v="3"/>
    <n v="3"/>
    <n v="1884"/>
    <n v="15"/>
    <x v="1"/>
    <x v="3"/>
    <n v="5652"/>
    <n v="-79128"/>
    <n v="84780"/>
  </r>
  <r>
    <x v="318"/>
    <x v="58"/>
    <d v="2024-01-03T00:00:00"/>
    <x v="13"/>
    <x v="12"/>
    <n v="3"/>
    <n v="1795"/>
    <n v="0"/>
    <x v="0"/>
    <x v="1"/>
    <n v="5385"/>
    <n v="5385"/>
    <n v="0"/>
  </r>
  <r>
    <x v="319"/>
    <x v="59"/>
    <d v="2024-01-04T00:00:00"/>
    <x v="196"/>
    <x v="23"/>
    <n v="3"/>
    <n v="1369"/>
    <n v="10"/>
    <x v="0"/>
    <x v="0"/>
    <n v="4107"/>
    <n v="-36963"/>
    <n v="41070"/>
  </r>
  <r>
    <x v="320"/>
    <x v="62"/>
    <d v="2024-01-04T00:00:00"/>
    <x v="197"/>
    <x v="96"/>
    <n v="3"/>
    <n v="665"/>
    <n v="15"/>
    <x v="2"/>
    <x v="2"/>
    <n v="1995"/>
    <n v="-27930"/>
    <n v="29925"/>
  </r>
  <r>
    <x v="321"/>
    <x v="209"/>
    <d v="2024-01-09T00:00:00"/>
    <x v="157"/>
    <x v="63"/>
    <n v="3"/>
    <n v="773"/>
    <n v="0"/>
    <x v="2"/>
    <x v="3"/>
    <n v="2319"/>
    <n v="2319"/>
    <n v="0"/>
  </r>
  <r>
    <x v="322"/>
    <x v="63"/>
    <d v="2024-01-09T00:00:00"/>
    <x v="198"/>
    <x v="92"/>
    <n v="3"/>
    <n v="360"/>
    <n v="10"/>
    <x v="3"/>
    <x v="0"/>
    <n v="1080"/>
    <n v="-9720"/>
    <n v="10800"/>
  </r>
  <r>
    <x v="323"/>
    <x v="63"/>
    <d v="2024-01-06T00:00:00"/>
    <x v="155"/>
    <x v="60"/>
    <n v="3"/>
    <n v="1437"/>
    <n v="15"/>
    <x v="0"/>
    <x v="0"/>
    <n v="4311"/>
    <n v="-60354"/>
    <n v="64665"/>
  </r>
  <r>
    <x v="324"/>
    <x v="210"/>
    <d v="2024-01-08T00:00:00"/>
    <x v="189"/>
    <x v="30"/>
    <n v="3"/>
    <n v="1709"/>
    <n v="5"/>
    <x v="3"/>
    <x v="3"/>
    <n v="5127"/>
    <n v="-20508"/>
    <n v="25635"/>
  </r>
  <r>
    <x v="325"/>
    <x v="65"/>
    <d v="2024-01-11T00:00:00"/>
    <x v="126"/>
    <x v="10"/>
    <n v="3"/>
    <n v="754"/>
    <n v="5"/>
    <x v="2"/>
    <x v="3"/>
    <n v="2262"/>
    <n v="-9048"/>
    <n v="11310"/>
  </r>
  <r>
    <x v="326"/>
    <x v="65"/>
    <d v="2024-01-07T00:00:00"/>
    <x v="181"/>
    <x v="39"/>
    <n v="3"/>
    <n v="1854"/>
    <n v="0"/>
    <x v="3"/>
    <x v="3"/>
    <n v="5562"/>
    <n v="5562"/>
    <n v="0"/>
  </r>
  <r>
    <x v="327"/>
    <x v="211"/>
    <d v="2024-01-11T00:00:00"/>
    <x v="199"/>
    <x v="30"/>
    <n v="3"/>
    <n v="1805"/>
    <n v="0"/>
    <x v="0"/>
    <x v="0"/>
    <n v="5415"/>
    <n v="5415"/>
    <n v="0"/>
  </r>
  <r>
    <x v="328"/>
    <x v="67"/>
    <d v="2024-01-08T00:00:00"/>
    <x v="139"/>
    <x v="66"/>
    <n v="3"/>
    <n v="218"/>
    <n v="10"/>
    <x v="0"/>
    <x v="2"/>
    <n v="654"/>
    <n v="-5886"/>
    <n v="6540"/>
  </r>
  <r>
    <x v="329"/>
    <x v="67"/>
    <d v="2024-01-06T00:00:00"/>
    <x v="51"/>
    <x v="73"/>
    <n v="3"/>
    <n v="1548"/>
    <n v="15"/>
    <x v="1"/>
    <x v="2"/>
    <n v="4644"/>
    <n v="-65016"/>
    <n v="69660"/>
  </r>
  <r>
    <x v="330"/>
    <x v="70"/>
    <d v="2024-01-07T00:00:00"/>
    <x v="85"/>
    <x v="78"/>
    <n v="3"/>
    <n v="662"/>
    <n v="5"/>
    <x v="2"/>
    <x v="2"/>
    <n v="1986"/>
    <n v="-7944"/>
    <n v="9930"/>
  </r>
  <r>
    <x v="331"/>
    <x v="71"/>
    <d v="2024-01-05T00:00:00"/>
    <x v="127"/>
    <x v="71"/>
    <n v="3"/>
    <n v="671"/>
    <n v="15"/>
    <x v="0"/>
    <x v="2"/>
    <n v="2013"/>
    <n v="-28182"/>
    <n v="30195"/>
  </r>
  <r>
    <x v="332"/>
    <x v="212"/>
    <d v="2024-01-04T00:00:00"/>
    <x v="200"/>
    <x v="67"/>
    <n v="3"/>
    <n v="801"/>
    <n v="10"/>
    <x v="1"/>
    <x v="0"/>
    <n v="2403"/>
    <n v="-21627"/>
    <n v="24030"/>
  </r>
  <r>
    <x v="333"/>
    <x v="212"/>
    <d v="2024-01-09T00:00:00"/>
    <x v="201"/>
    <x v="63"/>
    <n v="3"/>
    <n v="441"/>
    <n v="10"/>
    <x v="3"/>
    <x v="0"/>
    <n v="1323"/>
    <n v="-11907"/>
    <n v="13230"/>
  </r>
  <r>
    <x v="334"/>
    <x v="212"/>
    <d v="2024-01-09T00:00:00"/>
    <x v="144"/>
    <x v="97"/>
    <n v="3"/>
    <n v="1315"/>
    <n v="0"/>
    <x v="2"/>
    <x v="1"/>
    <n v="3945"/>
    <n v="3945"/>
    <n v="0"/>
  </r>
  <r>
    <x v="335"/>
    <x v="73"/>
    <d v="2024-01-06T00:00:00"/>
    <x v="202"/>
    <x v="31"/>
    <n v="3"/>
    <n v="1024"/>
    <n v="0"/>
    <x v="0"/>
    <x v="2"/>
    <n v="3072"/>
    <n v="3072"/>
    <n v="0"/>
  </r>
  <r>
    <x v="336"/>
    <x v="73"/>
    <d v="2024-01-05T00:00:00"/>
    <x v="203"/>
    <x v="6"/>
    <n v="3"/>
    <n v="321"/>
    <n v="0"/>
    <x v="0"/>
    <x v="0"/>
    <n v="963"/>
    <n v="963"/>
    <n v="0"/>
  </r>
  <r>
    <x v="337"/>
    <x v="213"/>
    <d v="2024-01-06T00:00:00"/>
    <x v="204"/>
    <x v="49"/>
    <n v="3"/>
    <n v="1331"/>
    <n v="5"/>
    <x v="2"/>
    <x v="1"/>
    <n v="3993"/>
    <n v="-15972"/>
    <n v="19965"/>
  </r>
  <r>
    <x v="338"/>
    <x v="213"/>
    <d v="2024-01-09T00:00:00"/>
    <x v="205"/>
    <x v="35"/>
    <n v="3"/>
    <n v="258"/>
    <n v="5"/>
    <x v="3"/>
    <x v="2"/>
    <n v="774"/>
    <n v="-3096"/>
    <n v="3870"/>
  </r>
  <r>
    <x v="339"/>
    <x v="213"/>
    <d v="2024-01-08T00:00:00"/>
    <x v="206"/>
    <x v="37"/>
    <n v="3"/>
    <n v="1249"/>
    <n v="0"/>
    <x v="1"/>
    <x v="3"/>
    <n v="3747"/>
    <n v="3747"/>
    <n v="0"/>
  </r>
  <r>
    <x v="340"/>
    <x v="213"/>
    <d v="2024-01-07T00:00:00"/>
    <x v="99"/>
    <x v="72"/>
    <n v="3"/>
    <n v="783"/>
    <n v="5"/>
    <x v="3"/>
    <x v="2"/>
    <n v="2349"/>
    <n v="-9396"/>
    <n v="11745"/>
  </r>
  <r>
    <x v="341"/>
    <x v="74"/>
    <d v="2024-01-05T00:00:00"/>
    <x v="204"/>
    <x v="44"/>
    <n v="3"/>
    <n v="1021"/>
    <n v="5"/>
    <x v="0"/>
    <x v="1"/>
    <n v="3063"/>
    <n v="-12252"/>
    <n v="15315"/>
  </r>
  <r>
    <x v="342"/>
    <x v="74"/>
    <d v="2024-01-07T00:00:00"/>
    <x v="34"/>
    <x v="55"/>
    <n v="3"/>
    <n v="1412"/>
    <n v="5"/>
    <x v="0"/>
    <x v="1"/>
    <n v="4236"/>
    <n v="-16944"/>
    <n v="21180"/>
  </r>
  <r>
    <x v="343"/>
    <x v="74"/>
    <d v="2024-01-06T00:00:00"/>
    <x v="2"/>
    <x v="68"/>
    <n v="3"/>
    <n v="1538"/>
    <n v="10"/>
    <x v="3"/>
    <x v="0"/>
    <n v="4614"/>
    <n v="-41526"/>
    <n v="46140"/>
  </r>
  <r>
    <x v="344"/>
    <x v="214"/>
    <d v="2024-01-09T00:00:00"/>
    <x v="151"/>
    <x v="91"/>
    <n v="3"/>
    <n v="1327"/>
    <n v="0"/>
    <x v="3"/>
    <x v="2"/>
    <n v="3981"/>
    <n v="3981"/>
    <n v="0"/>
  </r>
  <r>
    <x v="345"/>
    <x v="215"/>
    <d v="2024-01-03T00:00:00"/>
    <x v="16"/>
    <x v="2"/>
    <n v="3"/>
    <n v="1724"/>
    <n v="10"/>
    <x v="3"/>
    <x v="2"/>
    <n v="5172"/>
    <n v="-46548"/>
    <n v="51720"/>
  </r>
  <r>
    <x v="346"/>
    <x v="216"/>
    <d v="2024-01-11T00:00:00"/>
    <x v="199"/>
    <x v="40"/>
    <n v="3"/>
    <n v="1400"/>
    <n v="5"/>
    <x v="3"/>
    <x v="0"/>
    <n v="4200"/>
    <n v="-16800"/>
    <n v="21000"/>
  </r>
  <r>
    <x v="347"/>
    <x v="216"/>
    <d v="2024-01-10T00:00:00"/>
    <x v="207"/>
    <x v="85"/>
    <n v="3"/>
    <n v="1995"/>
    <n v="5"/>
    <x v="0"/>
    <x v="0"/>
    <n v="5985"/>
    <n v="-23940"/>
    <n v="29925"/>
  </r>
  <r>
    <x v="348"/>
    <x v="217"/>
    <d v="2024-01-03T00:00:00"/>
    <x v="31"/>
    <x v="71"/>
    <n v="3"/>
    <n v="1503"/>
    <n v="0"/>
    <x v="2"/>
    <x v="3"/>
    <n v="4509"/>
    <n v="4509"/>
    <n v="0"/>
  </r>
  <r>
    <x v="349"/>
    <x v="77"/>
    <d v="2024-01-04T00:00:00"/>
    <x v="208"/>
    <x v="90"/>
    <n v="3"/>
    <n v="387"/>
    <n v="10"/>
    <x v="0"/>
    <x v="0"/>
    <n v="1161"/>
    <n v="-10449"/>
    <n v="11610"/>
  </r>
  <r>
    <x v="350"/>
    <x v="218"/>
    <d v="2024-01-05T00:00:00"/>
    <x v="55"/>
    <x v="13"/>
    <n v="3"/>
    <n v="912"/>
    <n v="10"/>
    <x v="2"/>
    <x v="1"/>
    <n v="2736"/>
    <n v="-24624"/>
    <n v="27360"/>
  </r>
  <r>
    <x v="351"/>
    <x v="219"/>
    <d v="2024-01-06T00:00:00"/>
    <x v="55"/>
    <x v="34"/>
    <n v="3"/>
    <n v="999"/>
    <n v="10"/>
    <x v="1"/>
    <x v="2"/>
    <n v="2997"/>
    <n v="-26973"/>
    <n v="29970"/>
  </r>
  <r>
    <x v="352"/>
    <x v="220"/>
    <d v="2024-01-08T00:00:00"/>
    <x v="209"/>
    <x v="23"/>
    <n v="3"/>
    <n v="763"/>
    <n v="0"/>
    <x v="3"/>
    <x v="0"/>
    <n v="2289"/>
    <n v="2289"/>
    <n v="0"/>
  </r>
  <r>
    <x v="353"/>
    <x v="220"/>
    <d v="2024-01-04T00:00:00"/>
    <x v="41"/>
    <x v="45"/>
    <n v="3"/>
    <n v="1080"/>
    <n v="0"/>
    <x v="3"/>
    <x v="1"/>
    <n v="3240"/>
    <n v="3240"/>
    <n v="0"/>
  </r>
  <r>
    <x v="354"/>
    <x v="221"/>
    <d v="2024-01-06T00:00:00"/>
    <x v="40"/>
    <x v="29"/>
    <n v="3"/>
    <n v="956"/>
    <n v="0"/>
    <x v="0"/>
    <x v="2"/>
    <n v="2868"/>
    <n v="2868"/>
    <n v="0"/>
  </r>
  <r>
    <x v="355"/>
    <x v="222"/>
    <d v="2024-01-11T00:00:00"/>
    <x v="15"/>
    <x v="9"/>
    <n v="3"/>
    <n v="453"/>
    <n v="5"/>
    <x v="3"/>
    <x v="1"/>
    <n v="1359"/>
    <n v="-5436"/>
    <n v="6795"/>
  </r>
  <r>
    <x v="356"/>
    <x v="80"/>
    <d v="2024-01-06T00:00:00"/>
    <x v="210"/>
    <x v="30"/>
    <n v="3"/>
    <n v="224"/>
    <n v="5"/>
    <x v="1"/>
    <x v="3"/>
    <n v="672"/>
    <n v="-2688"/>
    <n v="3360"/>
  </r>
  <r>
    <x v="357"/>
    <x v="81"/>
    <d v="2024-01-09T00:00:00"/>
    <x v="211"/>
    <x v="83"/>
    <n v="3"/>
    <n v="1897"/>
    <n v="15"/>
    <x v="3"/>
    <x v="0"/>
    <n v="5691"/>
    <n v="-79674"/>
    <n v="85365"/>
  </r>
  <r>
    <x v="358"/>
    <x v="82"/>
    <d v="2024-01-03T00:00:00"/>
    <x v="12"/>
    <x v="96"/>
    <n v="3"/>
    <n v="294"/>
    <n v="5"/>
    <x v="2"/>
    <x v="3"/>
    <n v="882"/>
    <n v="-3528"/>
    <n v="4410"/>
  </r>
  <r>
    <x v="359"/>
    <x v="83"/>
    <d v="2024-01-05T00:00:00"/>
    <x v="83"/>
    <x v="48"/>
    <n v="3"/>
    <n v="1089"/>
    <n v="0"/>
    <x v="2"/>
    <x v="0"/>
    <n v="3267"/>
    <n v="3267"/>
    <n v="0"/>
  </r>
  <r>
    <x v="360"/>
    <x v="83"/>
    <d v="2024-01-08T00:00:00"/>
    <x v="212"/>
    <x v="23"/>
    <n v="3"/>
    <n v="1119"/>
    <n v="10"/>
    <x v="0"/>
    <x v="3"/>
    <n v="3357"/>
    <n v="-30213"/>
    <n v="33570"/>
  </r>
  <r>
    <x v="361"/>
    <x v="223"/>
    <d v="2024-01-04T00:00:00"/>
    <x v="3"/>
    <x v="66"/>
    <n v="3"/>
    <n v="1788"/>
    <n v="5"/>
    <x v="0"/>
    <x v="0"/>
    <n v="5364"/>
    <n v="-21456"/>
    <n v="26820"/>
  </r>
  <r>
    <x v="362"/>
    <x v="223"/>
    <d v="2024-01-03T00:00:00"/>
    <x v="78"/>
    <x v="54"/>
    <n v="3"/>
    <n v="292"/>
    <n v="5"/>
    <x v="1"/>
    <x v="0"/>
    <n v="876"/>
    <n v="-3504"/>
    <n v="4380"/>
  </r>
  <r>
    <x v="363"/>
    <x v="224"/>
    <d v="2024-01-08T00:00:00"/>
    <x v="113"/>
    <x v="17"/>
    <n v="3"/>
    <n v="1104"/>
    <n v="10"/>
    <x v="2"/>
    <x v="2"/>
    <n v="3312"/>
    <n v="-29808"/>
    <n v="33120"/>
  </r>
  <r>
    <x v="364"/>
    <x v="225"/>
    <d v="2024-01-04T00:00:00"/>
    <x v="26"/>
    <x v="58"/>
    <n v="3"/>
    <n v="1345"/>
    <n v="5"/>
    <x v="1"/>
    <x v="1"/>
    <n v="4035"/>
    <n v="-16140"/>
    <n v="20175"/>
  </r>
  <r>
    <x v="365"/>
    <x v="225"/>
    <d v="2024-01-06T00:00:00"/>
    <x v="213"/>
    <x v="23"/>
    <n v="3"/>
    <n v="1349"/>
    <n v="0"/>
    <x v="1"/>
    <x v="1"/>
    <n v="4047"/>
    <n v="4047"/>
    <n v="0"/>
  </r>
  <r>
    <x v="366"/>
    <x v="225"/>
    <d v="2024-01-05T00:00:00"/>
    <x v="94"/>
    <x v="70"/>
    <n v="3"/>
    <n v="1520"/>
    <n v="10"/>
    <x v="0"/>
    <x v="2"/>
    <n v="4560"/>
    <n v="-41040"/>
    <n v="45600"/>
  </r>
  <r>
    <x v="367"/>
    <x v="226"/>
    <d v="2024-01-07T00:00:00"/>
    <x v="214"/>
    <x v="16"/>
    <n v="3"/>
    <n v="1736"/>
    <n v="10"/>
    <x v="3"/>
    <x v="3"/>
    <n v="5208"/>
    <n v="-46872"/>
    <n v="52080"/>
  </r>
  <r>
    <x v="368"/>
    <x v="227"/>
    <d v="2024-01-06T00:00:00"/>
    <x v="35"/>
    <x v="12"/>
    <n v="3"/>
    <n v="1526"/>
    <n v="10"/>
    <x v="3"/>
    <x v="1"/>
    <n v="4578"/>
    <n v="-41202"/>
    <n v="45780"/>
  </r>
  <r>
    <x v="369"/>
    <x v="88"/>
    <d v="2024-01-06T00:00:00"/>
    <x v="176"/>
    <x v="9"/>
    <n v="3"/>
    <n v="1098"/>
    <n v="0"/>
    <x v="3"/>
    <x v="0"/>
    <n v="3294"/>
    <n v="3294"/>
    <n v="0"/>
  </r>
  <r>
    <x v="370"/>
    <x v="228"/>
    <d v="2024-01-09T00:00:00"/>
    <x v="77"/>
    <x v="85"/>
    <n v="3"/>
    <n v="1413"/>
    <n v="15"/>
    <x v="2"/>
    <x v="1"/>
    <n v="4239"/>
    <n v="-59346"/>
    <n v="63585"/>
  </r>
  <r>
    <x v="371"/>
    <x v="229"/>
    <d v="2024-01-09T00:00:00"/>
    <x v="204"/>
    <x v="97"/>
    <n v="3"/>
    <n v="748"/>
    <n v="10"/>
    <x v="1"/>
    <x v="1"/>
    <n v="2244"/>
    <n v="-20196"/>
    <n v="22440"/>
  </r>
  <r>
    <x v="372"/>
    <x v="229"/>
    <d v="2024-01-04T00:00:00"/>
    <x v="74"/>
    <x v="78"/>
    <n v="3"/>
    <n v="1639"/>
    <n v="0"/>
    <x v="2"/>
    <x v="1"/>
    <n v="4917"/>
    <n v="4917"/>
    <n v="0"/>
  </r>
  <r>
    <x v="373"/>
    <x v="230"/>
    <d v="2024-01-10T00:00:00"/>
    <x v="148"/>
    <x v="87"/>
    <n v="3"/>
    <n v="905"/>
    <n v="0"/>
    <x v="0"/>
    <x v="2"/>
    <n v="2715"/>
    <n v="2715"/>
    <n v="0"/>
  </r>
  <r>
    <x v="374"/>
    <x v="92"/>
    <d v="2024-01-03T00:00:00"/>
    <x v="184"/>
    <x v="4"/>
    <n v="3"/>
    <n v="1792"/>
    <n v="0"/>
    <x v="0"/>
    <x v="0"/>
    <n v="5376"/>
    <n v="5376"/>
    <n v="0"/>
  </r>
  <r>
    <x v="375"/>
    <x v="93"/>
    <d v="2024-01-09T00:00:00"/>
    <x v="215"/>
    <x v="62"/>
    <n v="3"/>
    <n v="348"/>
    <n v="0"/>
    <x v="2"/>
    <x v="2"/>
    <n v="1044"/>
    <n v="1044"/>
    <n v="0"/>
  </r>
  <r>
    <x v="376"/>
    <x v="231"/>
    <d v="2024-01-04T00:00:00"/>
    <x v="216"/>
    <x v="52"/>
    <n v="3"/>
    <n v="1603"/>
    <n v="5"/>
    <x v="1"/>
    <x v="1"/>
    <n v="4809"/>
    <n v="-19236"/>
    <n v="24045"/>
  </r>
  <r>
    <x v="377"/>
    <x v="94"/>
    <d v="2024-01-04T00:00:00"/>
    <x v="217"/>
    <x v="56"/>
    <n v="3"/>
    <n v="1371"/>
    <n v="5"/>
    <x v="3"/>
    <x v="3"/>
    <n v="4113"/>
    <n v="-16452"/>
    <n v="20565"/>
  </r>
  <r>
    <x v="378"/>
    <x v="95"/>
    <d v="2024-01-08T00:00:00"/>
    <x v="82"/>
    <x v="40"/>
    <n v="3"/>
    <n v="611"/>
    <n v="15"/>
    <x v="0"/>
    <x v="2"/>
    <n v="1833"/>
    <n v="-25662"/>
    <n v="27495"/>
  </r>
  <r>
    <x v="379"/>
    <x v="95"/>
    <d v="2024-01-08T00:00:00"/>
    <x v="214"/>
    <x v="19"/>
    <n v="3"/>
    <n v="1211"/>
    <n v="10"/>
    <x v="2"/>
    <x v="0"/>
    <n v="3633"/>
    <n v="-32697"/>
    <n v="36330"/>
  </r>
  <r>
    <x v="380"/>
    <x v="95"/>
    <d v="2024-01-03T00:00:00"/>
    <x v="133"/>
    <x v="39"/>
    <n v="3"/>
    <n v="811"/>
    <n v="10"/>
    <x v="1"/>
    <x v="1"/>
    <n v="2433"/>
    <n v="-21897"/>
    <n v="24330"/>
  </r>
  <r>
    <x v="381"/>
    <x v="232"/>
    <d v="2024-01-05T00:00:00"/>
    <x v="218"/>
    <x v="52"/>
    <n v="3"/>
    <n v="458"/>
    <n v="0"/>
    <x v="2"/>
    <x v="3"/>
    <n v="1374"/>
    <n v="1374"/>
    <n v="0"/>
  </r>
  <r>
    <x v="382"/>
    <x v="97"/>
    <d v="2024-01-03T00:00:00"/>
    <x v="201"/>
    <x v="48"/>
    <n v="3"/>
    <n v="257"/>
    <n v="15"/>
    <x v="1"/>
    <x v="3"/>
    <n v="771"/>
    <n v="-10794"/>
    <n v="11565"/>
  </r>
  <r>
    <x v="383"/>
    <x v="233"/>
    <d v="2024-01-05T00:00:00"/>
    <x v="219"/>
    <x v="47"/>
    <n v="3"/>
    <n v="811"/>
    <n v="5"/>
    <x v="1"/>
    <x v="0"/>
    <n v="2433"/>
    <n v="-9732"/>
    <n v="12165"/>
  </r>
  <r>
    <x v="384"/>
    <x v="234"/>
    <d v="2024-01-08T00:00:00"/>
    <x v="126"/>
    <x v="99"/>
    <n v="3"/>
    <n v="1846"/>
    <n v="15"/>
    <x v="1"/>
    <x v="2"/>
    <n v="5538"/>
    <n v="-77532"/>
    <n v="83070"/>
  </r>
  <r>
    <x v="385"/>
    <x v="98"/>
    <d v="2024-01-11T00:00:00"/>
    <x v="111"/>
    <x v="5"/>
    <n v="3"/>
    <n v="438"/>
    <n v="15"/>
    <x v="0"/>
    <x v="0"/>
    <n v="1314"/>
    <n v="-18396"/>
    <n v="19710"/>
  </r>
  <r>
    <x v="386"/>
    <x v="99"/>
    <d v="2024-01-03T00:00:00"/>
    <x v="127"/>
    <x v="99"/>
    <n v="3"/>
    <n v="1766"/>
    <n v="15"/>
    <x v="0"/>
    <x v="2"/>
    <n v="5298"/>
    <n v="-74172"/>
    <n v="79470"/>
  </r>
  <r>
    <x v="387"/>
    <x v="100"/>
    <d v="2024-01-08T00:00:00"/>
    <x v="161"/>
    <x v="51"/>
    <n v="3"/>
    <n v="261"/>
    <n v="5"/>
    <x v="3"/>
    <x v="1"/>
    <n v="783"/>
    <n v="-3132"/>
    <n v="3915"/>
  </r>
  <r>
    <x v="388"/>
    <x v="235"/>
    <d v="2024-01-08T00:00:00"/>
    <x v="41"/>
    <x v="29"/>
    <n v="3"/>
    <n v="1503"/>
    <n v="10"/>
    <x v="3"/>
    <x v="3"/>
    <n v="4509"/>
    <n v="-40581"/>
    <n v="45090"/>
  </r>
  <r>
    <x v="389"/>
    <x v="236"/>
    <d v="2024-01-06T00:00:00"/>
    <x v="220"/>
    <x v="38"/>
    <n v="3"/>
    <n v="418"/>
    <n v="15"/>
    <x v="3"/>
    <x v="2"/>
    <n v="1254"/>
    <n v="-17556"/>
    <n v="18810"/>
  </r>
  <r>
    <x v="390"/>
    <x v="101"/>
    <d v="2024-01-10T00:00:00"/>
    <x v="195"/>
    <x v="0"/>
    <n v="3"/>
    <n v="1383"/>
    <n v="0"/>
    <x v="0"/>
    <x v="2"/>
    <n v="4149"/>
    <n v="4149"/>
    <n v="0"/>
  </r>
  <r>
    <x v="391"/>
    <x v="102"/>
    <d v="2024-01-11T00:00:00"/>
    <x v="214"/>
    <x v="52"/>
    <n v="3"/>
    <n v="1670"/>
    <n v="5"/>
    <x v="0"/>
    <x v="1"/>
    <n v="5010"/>
    <n v="-20040"/>
    <n v="25050"/>
  </r>
  <r>
    <x v="392"/>
    <x v="237"/>
    <d v="2024-01-03T00:00:00"/>
    <x v="7"/>
    <x v="57"/>
    <n v="3"/>
    <n v="1026"/>
    <n v="5"/>
    <x v="0"/>
    <x v="1"/>
    <n v="3078"/>
    <n v="-12312"/>
    <n v="15390"/>
  </r>
  <r>
    <x v="393"/>
    <x v="103"/>
    <d v="2024-01-05T00:00:00"/>
    <x v="105"/>
    <x v="11"/>
    <n v="3"/>
    <n v="1341"/>
    <n v="0"/>
    <x v="3"/>
    <x v="3"/>
    <n v="4023"/>
    <n v="4023"/>
    <n v="0"/>
  </r>
  <r>
    <x v="394"/>
    <x v="238"/>
    <d v="2024-01-07T00:00:00"/>
    <x v="53"/>
    <x v="61"/>
    <n v="3"/>
    <n v="814"/>
    <n v="5"/>
    <x v="3"/>
    <x v="0"/>
    <n v="2442"/>
    <n v="-9768"/>
    <n v="12210"/>
  </r>
  <r>
    <x v="395"/>
    <x v="104"/>
    <d v="2024-01-04T00:00:00"/>
    <x v="26"/>
    <x v="19"/>
    <n v="3"/>
    <n v="1152"/>
    <n v="5"/>
    <x v="3"/>
    <x v="0"/>
    <n v="3456"/>
    <n v="-13824"/>
    <n v="17280"/>
  </r>
  <r>
    <x v="396"/>
    <x v="104"/>
    <d v="2024-01-09T00:00:00"/>
    <x v="133"/>
    <x v="24"/>
    <n v="3"/>
    <n v="1881"/>
    <n v="0"/>
    <x v="3"/>
    <x v="2"/>
    <n v="5643"/>
    <n v="5643"/>
    <n v="0"/>
  </r>
  <r>
    <x v="397"/>
    <x v="105"/>
    <d v="2024-01-03T00:00:00"/>
    <x v="208"/>
    <x v="96"/>
    <n v="3"/>
    <n v="1501"/>
    <n v="15"/>
    <x v="3"/>
    <x v="1"/>
    <n v="4503"/>
    <n v="-63042"/>
    <n v="67545"/>
  </r>
  <r>
    <x v="398"/>
    <x v="239"/>
    <d v="2024-01-08T00:00:00"/>
    <x v="221"/>
    <x v="33"/>
    <n v="3"/>
    <n v="688"/>
    <n v="0"/>
    <x v="0"/>
    <x v="3"/>
    <n v="2064"/>
    <n v="2064"/>
    <n v="0"/>
  </r>
  <r>
    <x v="399"/>
    <x v="107"/>
    <d v="2024-01-10T00:00:00"/>
    <x v="217"/>
    <x v="38"/>
    <n v="3"/>
    <n v="1625"/>
    <n v="15"/>
    <x v="1"/>
    <x v="1"/>
    <n v="4875"/>
    <n v="-68250"/>
    <n v="73125"/>
  </r>
  <r>
    <x v="400"/>
    <x v="108"/>
    <d v="2024-01-06T00:00:00"/>
    <x v="116"/>
    <x v="26"/>
    <n v="3"/>
    <n v="348"/>
    <n v="15"/>
    <x v="3"/>
    <x v="0"/>
    <n v="1044"/>
    <n v="-14616"/>
    <n v="15660"/>
  </r>
  <r>
    <x v="401"/>
    <x v="240"/>
    <d v="2024-01-09T00:00:00"/>
    <x v="26"/>
    <x v="29"/>
    <n v="3"/>
    <n v="1655"/>
    <n v="15"/>
    <x v="0"/>
    <x v="3"/>
    <n v="4965"/>
    <n v="-69510"/>
    <n v="74475"/>
  </r>
  <r>
    <x v="402"/>
    <x v="241"/>
    <d v="2024-01-08T00:00:00"/>
    <x v="190"/>
    <x v="53"/>
    <n v="3"/>
    <n v="205"/>
    <n v="0"/>
    <x v="0"/>
    <x v="0"/>
    <n v="615"/>
    <n v="615"/>
    <n v="0"/>
  </r>
  <r>
    <x v="403"/>
    <x v="111"/>
    <d v="2024-01-09T00:00:00"/>
    <x v="222"/>
    <x v="16"/>
    <n v="3"/>
    <n v="1319"/>
    <n v="0"/>
    <x v="1"/>
    <x v="3"/>
    <n v="3957"/>
    <n v="3957"/>
    <n v="0"/>
  </r>
  <r>
    <x v="404"/>
    <x v="113"/>
    <d v="2024-01-06T00:00:00"/>
    <x v="116"/>
    <x v="56"/>
    <n v="3"/>
    <n v="631"/>
    <n v="15"/>
    <x v="3"/>
    <x v="2"/>
    <n v="1893"/>
    <n v="-26502"/>
    <n v="28395"/>
  </r>
  <r>
    <x v="405"/>
    <x v="114"/>
    <d v="2024-01-08T00:00:00"/>
    <x v="223"/>
    <x v="17"/>
    <n v="3"/>
    <n v="1834"/>
    <n v="5"/>
    <x v="0"/>
    <x v="2"/>
    <n v="5502"/>
    <n v="-22008"/>
    <n v="27510"/>
  </r>
  <r>
    <x v="406"/>
    <x v="114"/>
    <d v="2024-01-07T00:00:00"/>
    <x v="44"/>
    <x v="84"/>
    <n v="3"/>
    <n v="651"/>
    <n v="10"/>
    <x v="1"/>
    <x v="3"/>
    <n v="1953"/>
    <n v="-17577"/>
    <n v="19530"/>
  </r>
  <r>
    <x v="407"/>
    <x v="118"/>
    <d v="2024-01-04T00:00:00"/>
    <x v="37"/>
    <x v="11"/>
    <n v="3"/>
    <n v="1883"/>
    <n v="15"/>
    <x v="0"/>
    <x v="0"/>
    <n v="5649"/>
    <n v="-79086"/>
    <n v="84735"/>
  </r>
  <r>
    <x v="408"/>
    <x v="118"/>
    <d v="2024-01-04T00:00:00"/>
    <x v="133"/>
    <x v="31"/>
    <n v="3"/>
    <n v="427"/>
    <n v="15"/>
    <x v="2"/>
    <x v="2"/>
    <n v="1281"/>
    <n v="-17934"/>
    <n v="19215"/>
  </r>
  <r>
    <x v="409"/>
    <x v="119"/>
    <d v="2024-01-11T00:00:00"/>
    <x v="190"/>
    <x v="99"/>
    <n v="3"/>
    <n v="1730"/>
    <n v="10"/>
    <x v="0"/>
    <x v="2"/>
    <n v="5190"/>
    <n v="-46710"/>
    <n v="51900"/>
  </r>
  <r>
    <x v="410"/>
    <x v="119"/>
    <d v="2024-01-06T00:00:00"/>
    <x v="224"/>
    <x v="1"/>
    <n v="3"/>
    <n v="283"/>
    <n v="5"/>
    <x v="1"/>
    <x v="3"/>
    <n v="849"/>
    <n v="-3396"/>
    <n v="4245"/>
  </r>
  <r>
    <x v="411"/>
    <x v="119"/>
    <d v="2024-01-05T00:00:00"/>
    <x v="225"/>
    <x v="62"/>
    <n v="3"/>
    <n v="685"/>
    <n v="10"/>
    <x v="0"/>
    <x v="0"/>
    <n v="2055"/>
    <n v="-18495"/>
    <n v="20550"/>
  </r>
  <r>
    <x v="412"/>
    <x v="242"/>
    <d v="2024-01-08T00:00:00"/>
    <x v="226"/>
    <x v="57"/>
    <n v="3"/>
    <n v="1060"/>
    <n v="10"/>
    <x v="2"/>
    <x v="3"/>
    <n v="3180"/>
    <n v="-28620"/>
    <n v="31800"/>
  </r>
  <r>
    <x v="413"/>
    <x v="242"/>
    <d v="2024-01-07T00:00:00"/>
    <x v="170"/>
    <x v="23"/>
    <n v="3"/>
    <n v="1885"/>
    <n v="5"/>
    <x v="3"/>
    <x v="2"/>
    <n v="5655"/>
    <n v="-22620"/>
    <n v="28275"/>
  </r>
  <r>
    <x v="414"/>
    <x v="243"/>
    <d v="2024-01-05T00:00:00"/>
    <x v="227"/>
    <x v="65"/>
    <n v="3"/>
    <n v="1239"/>
    <n v="10"/>
    <x v="2"/>
    <x v="2"/>
    <n v="3717"/>
    <n v="-33453"/>
    <n v="37170"/>
  </r>
  <r>
    <x v="415"/>
    <x v="243"/>
    <d v="2024-01-05T00:00:00"/>
    <x v="179"/>
    <x v="40"/>
    <n v="3"/>
    <n v="765"/>
    <n v="15"/>
    <x v="3"/>
    <x v="2"/>
    <n v="2295"/>
    <n v="-32130"/>
    <n v="34425"/>
  </r>
  <r>
    <x v="416"/>
    <x v="244"/>
    <d v="2024-01-09T00:00:00"/>
    <x v="190"/>
    <x v="9"/>
    <n v="3"/>
    <n v="1421"/>
    <n v="0"/>
    <x v="0"/>
    <x v="1"/>
    <n v="4263"/>
    <n v="4263"/>
    <n v="0"/>
  </r>
  <r>
    <x v="417"/>
    <x v="245"/>
    <d v="2024-01-03T00:00:00"/>
    <x v="193"/>
    <x v="70"/>
    <n v="3"/>
    <n v="649"/>
    <n v="10"/>
    <x v="3"/>
    <x v="3"/>
    <n v="1947"/>
    <n v="-17523"/>
    <n v="19470"/>
  </r>
  <r>
    <x v="418"/>
    <x v="246"/>
    <d v="2024-01-04T00:00:00"/>
    <x v="124"/>
    <x v="55"/>
    <n v="3"/>
    <n v="967"/>
    <n v="15"/>
    <x v="1"/>
    <x v="3"/>
    <n v="2901"/>
    <n v="-40614"/>
    <n v="43515"/>
  </r>
  <r>
    <x v="419"/>
    <x v="246"/>
    <d v="2024-01-08T00:00:00"/>
    <x v="175"/>
    <x v="61"/>
    <n v="3"/>
    <n v="1605"/>
    <n v="10"/>
    <x v="3"/>
    <x v="0"/>
    <n v="4815"/>
    <n v="-43335"/>
    <n v="48150"/>
  </r>
  <r>
    <x v="420"/>
    <x v="124"/>
    <d v="2024-01-09T00:00:00"/>
    <x v="148"/>
    <x v="87"/>
    <n v="3"/>
    <n v="985"/>
    <n v="15"/>
    <x v="3"/>
    <x v="2"/>
    <n v="2955"/>
    <n v="-41370"/>
    <n v="44325"/>
  </r>
  <r>
    <x v="421"/>
    <x v="247"/>
    <d v="2024-01-06T00:00:00"/>
    <x v="209"/>
    <x v="2"/>
    <n v="3"/>
    <n v="1318"/>
    <n v="0"/>
    <x v="2"/>
    <x v="1"/>
    <n v="3954"/>
    <n v="3954"/>
    <n v="0"/>
  </r>
  <r>
    <x v="422"/>
    <x v="248"/>
    <d v="2024-01-03T00:00:00"/>
    <x v="192"/>
    <x v="56"/>
    <n v="3"/>
    <n v="1233"/>
    <n v="5"/>
    <x v="1"/>
    <x v="3"/>
    <n v="3699"/>
    <n v="-14796"/>
    <n v="18495"/>
  </r>
  <r>
    <x v="423"/>
    <x v="249"/>
    <d v="2024-01-07T00:00:00"/>
    <x v="74"/>
    <x v="37"/>
    <n v="3"/>
    <n v="1236"/>
    <n v="0"/>
    <x v="2"/>
    <x v="0"/>
    <n v="3708"/>
    <n v="3708"/>
    <n v="0"/>
  </r>
  <r>
    <x v="424"/>
    <x v="128"/>
    <d v="2024-01-05T00:00:00"/>
    <x v="85"/>
    <x v="88"/>
    <n v="3"/>
    <n v="1672"/>
    <n v="5"/>
    <x v="0"/>
    <x v="2"/>
    <n v="5016"/>
    <n v="-20064"/>
    <n v="25080"/>
  </r>
  <r>
    <x v="425"/>
    <x v="250"/>
    <d v="2024-01-09T00:00:00"/>
    <x v="59"/>
    <x v="58"/>
    <n v="3"/>
    <n v="547"/>
    <n v="15"/>
    <x v="2"/>
    <x v="3"/>
    <n v="1641"/>
    <n v="-22974"/>
    <n v="24615"/>
  </r>
  <r>
    <x v="426"/>
    <x v="251"/>
    <d v="2024-01-09T00:00:00"/>
    <x v="105"/>
    <x v="18"/>
    <n v="3"/>
    <n v="659"/>
    <n v="0"/>
    <x v="1"/>
    <x v="2"/>
    <n v="1977"/>
    <n v="1977"/>
    <n v="0"/>
  </r>
  <r>
    <x v="427"/>
    <x v="131"/>
    <d v="2024-01-06T00:00:00"/>
    <x v="115"/>
    <x v="1"/>
    <n v="3"/>
    <n v="1408"/>
    <n v="5"/>
    <x v="1"/>
    <x v="2"/>
    <n v="4224"/>
    <n v="-16896"/>
    <n v="21120"/>
  </r>
  <r>
    <x v="428"/>
    <x v="131"/>
    <d v="2024-01-06T00:00:00"/>
    <x v="104"/>
    <x v="8"/>
    <n v="3"/>
    <n v="675"/>
    <n v="15"/>
    <x v="2"/>
    <x v="2"/>
    <n v="2025"/>
    <n v="-28350"/>
    <n v="30375"/>
  </r>
  <r>
    <x v="429"/>
    <x v="131"/>
    <d v="2024-01-04T00:00:00"/>
    <x v="228"/>
    <x v="19"/>
    <n v="3"/>
    <n v="1997"/>
    <n v="5"/>
    <x v="0"/>
    <x v="1"/>
    <n v="5991"/>
    <n v="-23964"/>
    <n v="29955"/>
  </r>
  <r>
    <x v="430"/>
    <x v="132"/>
    <d v="2024-01-09T00:00:00"/>
    <x v="187"/>
    <x v="80"/>
    <n v="3"/>
    <n v="962"/>
    <n v="15"/>
    <x v="0"/>
    <x v="3"/>
    <n v="2886"/>
    <n v="-40404"/>
    <n v="43290"/>
  </r>
  <r>
    <x v="431"/>
    <x v="252"/>
    <d v="2024-01-04T00:00:00"/>
    <x v="49"/>
    <x v="74"/>
    <n v="3"/>
    <n v="1584"/>
    <n v="15"/>
    <x v="0"/>
    <x v="0"/>
    <n v="4752"/>
    <n v="-66528"/>
    <n v="71280"/>
  </r>
  <r>
    <x v="432"/>
    <x v="253"/>
    <d v="2024-01-11T00:00:00"/>
    <x v="225"/>
    <x v="90"/>
    <n v="3"/>
    <n v="1602"/>
    <n v="0"/>
    <x v="1"/>
    <x v="2"/>
    <n v="4806"/>
    <n v="4806"/>
    <n v="0"/>
  </r>
  <r>
    <x v="433"/>
    <x v="253"/>
    <d v="2024-01-09T00:00:00"/>
    <x v="72"/>
    <x v="69"/>
    <n v="3"/>
    <n v="307"/>
    <n v="10"/>
    <x v="1"/>
    <x v="2"/>
    <n v="921"/>
    <n v="-8289"/>
    <n v="9210"/>
  </r>
  <r>
    <x v="434"/>
    <x v="137"/>
    <d v="2024-01-04T00:00:00"/>
    <x v="209"/>
    <x v="33"/>
    <n v="3"/>
    <n v="435"/>
    <n v="15"/>
    <x v="3"/>
    <x v="2"/>
    <n v="1305"/>
    <n v="-18270"/>
    <n v="19575"/>
  </r>
  <r>
    <x v="435"/>
    <x v="137"/>
    <d v="2024-01-05T00:00:00"/>
    <x v="104"/>
    <x v="8"/>
    <n v="3"/>
    <n v="363"/>
    <n v="0"/>
    <x v="1"/>
    <x v="0"/>
    <n v="1089"/>
    <n v="1089"/>
    <n v="0"/>
  </r>
  <r>
    <x v="436"/>
    <x v="254"/>
    <d v="2024-01-03T00:00:00"/>
    <x v="178"/>
    <x v="52"/>
    <n v="3"/>
    <n v="709"/>
    <n v="5"/>
    <x v="2"/>
    <x v="2"/>
    <n v="2127"/>
    <n v="-8508"/>
    <n v="10635"/>
  </r>
  <r>
    <x v="437"/>
    <x v="139"/>
    <d v="2024-01-08T00:00:00"/>
    <x v="175"/>
    <x v="83"/>
    <n v="3"/>
    <n v="1229"/>
    <n v="15"/>
    <x v="2"/>
    <x v="3"/>
    <n v="3687"/>
    <n v="-51618"/>
    <n v="55305"/>
  </r>
  <r>
    <x v="438"/>
    <x v="255"/>
    <d v="2024-01-04T00:00:00"/>
    <x v="229"/>
    <x v="16"/>
    <n v="3"/>
    <n v="1594"/>
    <n v="15"/>
    <x v="3"/>
    <x v="1"/>
    <n v="4782"/>
    <n v="-66948"/>
    <n v="71730"/>
  </r>
  <r>
    <x v="439"/>
    <x v="256"/>
    <d v="2024-01-10T00:00:00"/>
    <x v="217"/>
    <x v="29"/>
    <n v="3"/>
    <n v="1403"/>
    <n v="5"/>
    <x v="1"/>
    <x v="1"/>
    <n v="4209"/>
    <n v="-16836"/>
    <n v="21045"/>
  </r>
  <r>
    <x v="440"/>
    <x v="143"/>
    <d v="2024-01-04T00:00:00"/>
    <x v="13"/>
    <x v="11"/>
    <n v="3"/>
    <n v="1329"/>
    <n v="5"/>
    <x v="3"/>
    <x v="0"/>
    <n v="3987"/>
    <n v="-15948"/>
    <n v="19935"/>
  </r>
  <r>
    <x v="441"/>
    <x v="143"/>
    <d v="2024-01-03T00:00:00"/>
    <x v="95"/>
    <x v="27"/>
    <n v="3"/>
    <n v="1570"/>
    <n v="15"/>
    <x v="3"/>
    <x v="3"/>
    <n v="4710"/>
    <n v="-65940"/>
    <n v="70650"/>
  </r>
  <r>
    <x v="442"/>
    <x v="257"/>
    <d v="2024-01-10T00:00:00"/>
    <x v="116"/>
    <x v="73"/>
    <n v="3"/>
    <n v="1311"/>
    <n v="0"/>
    <x v="2"/>
    <x v="1"/>
    <n v="3933"/>
    <n v="3933"/>
    <n v="0"/>
  </r>
  <r>
    <x v="443"/>
    <x v="144"/>
    <d v="2024-01-09T00:00:00"/>
    <x v="230"/>
    <x v="87"/>
    <n v="3"/>
    <n v="297"/>
    <n v="10"/>
    <x v="1"/>
    <x v="2"/>
    <n v="891"/>
    <n v="-8019"/>
    <n v="8910"/>
  </r>
  <r>
    <x v="444"/>
    <x v="145"/>
    <d v="2024-01-03T00:00:00"/>
    <x v="33"/>
    <x v="66"/>
    <n v="3"/>
    <n v="1015"/>
    <n v="0"/>
    <x v="2"/>
    <x v="1"/>
    <n v="3045"/>
    <n v="3045"/>
    <n v="0"/>
  </r>
  <r>
    <x v="445"/>
    <x v="145"/>
    <d v="2024-01-05T00:00:00"/>
    <x v="231"/>
    <x v="23"/>
    <n v="3"/>
    <n v="1996"/>
    <n v="10"/>
    <x v="2"/>
    <x v="1"/>
    <n v="5988"/>
    <n v="-53892"/>
    <n v="59880"/>
  </r>
  <r>
    <x v="446"/>
    <x v="146"/>
    <d v="2024-01-04T00:00:00"/>
    <x v="32"/>
    <x v="53"/>
    <n v="3"/>
    <n v="1912"/>
    <n v="10"/>
    <x v="2"/>
    <x v="0"/>
    <n v="5736"/>
    <n v="-51624"/>
    <n v="57360"/>
  </r>
  <r>
    <x v="447"/>
    <x v="258"/>
    <d v="2024-01-03T00:00:00"/>
    <x v="232"/>
    <x v="59"/>
    <n v="3"/>
    <n v="1018"/>
    <n v="10"/>
    <x v="2"/>
    <x v="2"/>
    <n v="3054"/>
    <n v="-27486"/>
    <n v="30540"/>
  </r>
  <r>
    <x v="448"/>
    <x v="259"/>
    <d v="2024-01-07T00:00:00"/>
    <x v="233"/>
    <x v="8"/>
    <n v="3"/>
    <n v="1762"/>
    <n v="0"/>
    <x v="0"/>
    <x v="1"/>
    <n v="5286"/>
    <n v="5286"/>
    <n v="0"/>
  </r>
  <r>
    <x v="449"/>
    <x v="260"/>
    <d v="2024-01-09T00:00:00"/>
    <x v="90"/>
    <x v="45"/>
    <n v="3"/>
    <n v="1054"/>
    <n v="0"/>
    <x v="3"/>
    <x v="0"/>
    <n v="3162"/>
    <n v="3162"/>
    <n v="0"/>
  </r>
  <r>
    <x v="450"/>
    <x v="261"/>
    <d v="2024-01-04T00:00:00"/>
    <x v="180"/>
    <x v="49"/>
    <n v="3"/>
    <n v="1037"/>
    <n v="5"/>
    <x v="2"/>
    <x v="3"/>
    <n v="3111"/>
    <n v="-12444"/>
    <n v="15555"/>
  </r>
  <r>
    <x v="451"/>
    <x v="261"/>
    <d v="2024-01-10T00:00:00"/>
    <x v="35"/>
    <x v="23"/>
    <n v="3"/>
    <n v="772"/>
    <n v="15"/>
    <x v="0"/>
    <x v="0"/>
    <n v="2316"/>
    <n v="-32424"/>
    <n v="34740"/>
  </r>
  <r>
    <x v="452"/>
    <x v="262"/>
    <d v="2024-01-09T00:00:00"/>
    <x v="38"/>
    <x v="36"/>
    <n v="3"/>
    <n v="1266"/>
    <n v="10"/>
    <x v="0"/>
    <x v="2"/>
    <n v="3798"/>
    <n v="-34182"/>
    <n v="37980"/>
  </r>
  <r>
    <x v="453"/>
    <x v="150"/>
    <d v="2024-01-04T00:00:00"/>
    <x v="190"/>
    <x v="49"/>
    <n v="3"/>
    <n v="1282"/>
    <n v="15"/>
    <x v="3"/>
    <x v="0"/>
    <n v="3846"/>
    <n v="-53844"/>
    <n v="57690"/>
  </r>
  <r>
    <x v="454"/>
    <x v="150"/>
    <d v="2024-01-03T00:00:00"/>
    <x v="213"/>
    <x v="97"/>
    <n v="3"/>
    <n v="1934"/>
    <n v="0"/>
    <x v="3"/>
    <x v="0"/>
    <n v="5802"/>
    <n v="5802"/>
    <n v="0"/>
  </r>
  <r>
    <x v="455"/>
    <x v="263"/>
    <d v="2024-01-07T00:00:00"/>
    <x v="216"/>
    <x v="43"/>
    <n v="3"/>
    <n v="270"/>
    <n v="5"/>
    <x v="1"/>
    <x v="0"/>
    <n v="810"/>
    <n v="-3240"/>
    <n v="4050"/>
  </r>
  <r>
    <x v="456"/>
    <x v="153"/>
    <d v="2024-01-03T00:00:00"/>
    <x v="194"/>
    <x v="63"/>
    <n v="3"/>
    <n v="1973"/>
    <n v="5"/>
    <x v="0"/>
    <x v="1"/>
    <n v="5919"/>
    <n v="-23676"/>
    <n v="29595"/>
  </r>
  <r>
    <x v="457"/>
    <x v="153"/>
    <d v="2024-01-06T00:00:00"/>
    <x v="234"/>
    <x v="55"/>
    <n v="3"/>
    <n v="1996"/>
    <n v="0"/>
    <x v="2"/>
    <x v="0"/>
    <n v="5988"/>
    <n v="5988"/>
    <n v="0"/>
  </r>
  <r>
    <x v="458"/>
    <x v="155"/>
    <d v="2024-01-05T00:00:00"/>
    <x v="235"/>
    <x v="97"/>
    <n v="3"/>
    <n v="1367"/>
    <n v="0"/>
    <x v="2"/>
    <x v="2"/>
    <n v="4101"/>
    <n v="4101"/>
    <n v="0"/>
  </r>
  <r>
    <x v="459"/>
    <x v="264"/>
    <d v="2024-01-07T00:00:00"/>
    <x v="213"/>
    <x v="4"/>
    <n v="3"/>
    <n v="1160"/>
    <n v="10"/>
    <x v="1"/>
    <x v="2"/>
    <n v="3480"/>
    <n v="-31320"/>
    <n v="34800"/>
  </r>
  <r>
    <x v="460"/>
    <x v="264"/>
    <d v="2024-01-06T00:00:00"/>
    <x v="148"/>
    <x v="56"/>
    <n v="3"/>
    <n v="1882"/>
    <n v="15"/>
    <x v="2"/>
    <x v="1"/>
    <n v="5646"/>
    <n v="-79044"/>
    <n v="84690"/>
  </r>
  <r>
    <x v="461"/>
    <x v="157"/>
    <d v="2024-01-04T00:00:00"/>
    <x v="188"/>
    <x v="53"/>
    <n v="3"/>
    <n v="806"/>
    <n v="5"/>
    <x v="3"/>
    <x v="0"/>
    <n v="2418"/>
    <n v="-9672"/>
    <n v="12090"/>
  </r>
  <r>
    <x v="462"/>
    <x v="158"/>
    <d v="2024-01-11T00:00:00"/>
    <x v="236"/>
    <x v="81"/>
    <n v="3"/>
    <n v="212"/>
    <n v="5"/>
    <x v="0"/>
    <x v="2"/>
    <n v="636"/>
    <n v="-2544"/>
    <n v="3180"/>
  </r>
  <r>
    <x v="463"/>
    <x v="158"/>
    <d v="2024-01-09T00:00:00"/>
    <x v="12"/>
    <x v="6"/>
    <n v="3"/>
    <n v="1078"/>
    <n v="10"/>
    <x v="2"/>
    <x v="0"/>
    <n v="3234"/>
    <n v="-29106"/>
    <n v="32340"/>
  </r>
  <r>
    <x v="464"/>
    <x v="160"/>
    <d v="2024-01-11T00:00:00"/>
    <x v="70"/>
    <x v="33"/>
    <n v="3"/>
    <n v="868"/>
    <n v="0"/>
    <x v="3"/>
    <x v="2"/>
    <n v="2604"/>
    <n v="2604"/>
    <n v="0"/>
  </r>
  <r>
    <x v="465"/>
    <x v="265"/>
    <d v="2024-01-06T00:00:00"/>
    <x v="83"/>
    <x v="44"/>
    <n v="3"/>
    <n v="1419"/>
    <n v="15"/>
    <x v="3"/>
    <x v="0"/>
    <n v="4257"/>
    <n v="-59598"/>
    <n v="63855"/>
  </r>
  <r>
    <x v="466"/>
    <x v="266"/>
    <d v="2024-01-04T00:00:00"/>
    <x v="27"/>
    <x v="63"/>
    <n v="3"/>
    <n v="704"/>
    <n v="5"/>
    <x v="2"/>
    <x v="3"/>
    <n v="2112"/>
    <n v="-8448"/>
    <n v="10560"/>
  </r>
  <r>
    <x v="467"/>
    <x v="266"/>
    <d v="2024-01-03T00:00:00"/>
    <x v="3"/>
    <x v="14"/>
    <n v="3"/>
    <n v="1461"/>
    <n v="15"/>
    <x v="1"/>
    <x v="0"/>
    <n v="4383"/>
    <n v="-61362"/>
    <n v="65745"/>
  </r>
  <r>
    <x v="468"/>
    <x v="164"/>
    <d v="2024-01-09T00:00:00"/>
    <x v="199"/>
    <x v="27"/>
    <n v="3"/>
    <n v="1259"/>
    <n v="15"/>
    <x v="3"/>
    <x v="1"/>
    <n v="3777"/>
    <n v="-52878"/>
    <n v="56655"/>
  </r>
  <r>
    <x v="469"/>
    <x v="267"/>
    <d v="2024-01-04T00:00:00"/>
    <x v="160"/>
    <x v="16"/>
    <n v="3"/>
    <n v="1194"/>
    <n v="0"/>
    <x v="0"/>
    <x v="1"/>
    <n v="3582"/>
    <n v="3582"/>
    <n v="0"/>
  </r>
  <r>
    <x v="470"/>
    <x v="165"/>
    <d v="2024-01-05T00:00:00"/>
    <x v="13"/>
    <x v="8"/>
    <n v="3"/>
    <n v="679"/>
    <n v="0"/>
    <x v="0"/>
    <x v="3"/>
    <n v="2037"/>
    <n v="2037"/>
    <n v="0"/>
  </r>
  <r>
    <x v="471"/>
    <x v="165"/>
    <d v="2024-01-07T00:00:00"/>
    <x v="110"/>
    <x v="50"/>
    <n v="3"/>
    <n v="1918"/>
    <n v="5"/>
    <x v="0"/>
    <x v="0"/>
    <n v="5754"/>
    <n v="-23016"/>
    <n v="28770"/>
  </r>
  <r>
    <x v="472"/>
    <x v="167"/>
    <d v="2024-01-07T00:00:00"/>
    <x v="226"/>
    <x v="79"/>
    <n v="3"/>
    <n v="1848"/>
    <n v="5"/>
    <x v="2"/>
    <x v="1"/>
    <n v="5544"/>
    <n v="-22176"/>
    <n v="27720"/>
  </r>
  <r>
    <x v="473"/>
    <x v="168"/>
    <d v="2024-01-09T00:00:00"/>
    <x v="98"/>
    <x v="21"/>
    <n v="3"/>
    <n v="1251"/>
    <n v="15"/>
    <x v="1"/>
    <x v="2"/>
    <n v="3753"/>
    <n v="-52542"/>
    <n v="56295"/>
  </r>
  <r>
    <x v="474"/>
    <x v="169"/>
    <d v="2024-01-05T00:00:00"/>
    <x v="237"/>
    <x v="5"/>
    <n v="3"/>
    <n v="1499"/>
    <n v="0"/>
    <x v="2"/>
    <x v="2"/>
    <n v="4497"/>
    <n v="4497"/>
    <n v="0"/>
  </r>
  <r>
    <x v="475"/>
    <x v="268"/>
    <d v="2024-01-06T00:00:00"/>
    <x v="222"/>
    <x v="28"/>
    <n v="3"/>
    <n v="556"/>
    <n v="0"/>
    <x v="3"/>
    <x v="2"/>
    <n v="1668"/>
    <n v="1668"/>
    <n v="0"/>
  </r>
  <r>
    <x v="476"/>
    <x v="269"/>
    <d v="2024-01-04T00:00:00"/>
    <x v="211"/>
    <x v="40"/>
    <n v="3"/>
    <n v="1832"/>
    <n v="15"/>
    <x v="2"/>
    <x v="3"/>
    <n v="5496"/>
    <n v="-76944"/>
    <n v="82440"/>
  </r>
  <r>
    <x v="477"/>
    <x v="270"/>
    <d v="2024-01-10T00:00:00"/>
    <x v="238"/>
    <x v="38"/>
    <n v="3"/>
    <n v="1469"/>
    <n v="10"/>
    <x v="2"/>
    <x v="1"/>
    <n v="4407"/>
    <n v="-39663"/>
    <n v="44070"/>
  </r>
  <r>
    <x v="478"/>
    <x v="175"/>
    <d v="2024-01-06T00:00:00"/>
    <x v="82"/>
    <x v="44"/>
    <n v="3"/>
    <n v="454"/>
    <n v="15"/>
    <x v="2"/>
    <x v="0"/>
    <n v="1362"/>
    <n v="-19068"/>
    <n v="20430"/>
  </r>
  <r>
    <x v="479"/>
    <x v="271"/>
    <d v="2024-01-10T00:00:00"/>
    <x v="25"/>
    <x v="11"/>
    <n v="3"/>
    <n v="572"/>
    <n v="0"/>
    <x v="1"/>
    <x v="2"/>
    <n v="1716"/>
    <n v="1716"/>
    <n v="0"/>
  </r>
  <r>
    <x v="480"/>
    <x v="176"/>
    <d v="2024-01-08T00:00:00"/>
    <x v="166"/>
    <x v="5"/>
    <n v="3"/>
    <n v="889"/>
    <n v="10"/>
    <x v="0"/>
    <x v="0"/>
    <n v="2667"/>
    <n v="-24003"/>
    <n v="26670"/>
  </r>
  <r>
    <x v="481"/>
    <x v="176"/>
    <d v="2024-01-05T00:00:00"/>
    <x v="81"/>
    <x v="3"/>
    <n v="3"/>
    <n v="374"/>
    <n v="10"/>
    <x v="2"/>
    <x v="2"/>
    <n v="1122"/>
    <n v="-10098"/>
    <n v="11220"/>
  </r>
  <r>
    <x v="482"/>
    <x v="1"/>
    <d v="2024-01-09T00:00:00"/>
    <x v="199"/>
    <x v="66"/>
    <n v="2"/>
    <n v="861"/>
    <n v="10"/>
    <x v="3"/>
    <x v="3"/>
    <n v="1722"/>
    <n v="-15498"/>
    <n v="17220"/>
  </r>
  <r>
    <x v="483"/>
    <x v="4"/>
    <d v="2024-01-05T00:00:00"/>
    <x v="239"/>
    <x v="24"/>
    <n v="2"/>
    <n v="1128"/>
    <n v="5"/>
    <x v="2"/>
    <x v="2"/>
    <n v="2256"/>
    <n v="-9024"/>
    <n v="11280"/>
  </r>
  <r>
    <x v="484"/>
    <x v="4"/>
    <d v="2024-01-11T00:00:00"/>
    <x v="240"/>
    <x v="10"/>
    <n v="2"/>
    <n v="1927"/>
    <n v="5"/>
    <x v="2"/>
    <x v="1"/>
    <n v="3854"/>
    <n v="-15416"/>
    <n v="19270"/>
  </r>
  <r>
    <x v="485"/>
    <x v="5"/>
    <d v="2024-01-04T00:00:00"/>
    <x v="153"/>
    <x v="21"/>
    <n v="2"/>
    <n v="1690"/>
    <n v="10"/>
    <x v="0"/>
    <x v="3"/>
    <n v="3380"/>
    <n v="-30420"/>
    <n v="33800"/>
  </r>
  <r>
    <x v="486"/>
    <x v="5"/>
    <d v="2024-01-06T00:00:00"/>
    <x v="10"/>
    <x v="34"/>
    <n v="2"/>
    <n v="900"/>
    <n v="0"/>
    <x v="2"/>
    <x v="3"/>
    <n v="1800"/>
    <n v="1800"/>
    <n v="0"/>
  </r>
  <r>
    <x v="487"/>
    <x v="272"/>
    <d v="2024-01-06T00:00:00"/>
    <x v="106"/>
    <x v="64"/>
    <n v="2"/>
    <n v="1007"/>
    <n v="10"/>
    <x v="1"/>
    <x v="0"/>
    <n v="2014"/>
    <n v="-18126"/>
    <n v="20140"/>
  </r>
  <r>
    <x v="488"/>
    <x v="7"/>
    <d v="2024-01-07T00:00:00"/>
    <x v="98"/>
    <x v="95"/>
    <n v="2"/>
    <n v="1590"/>
    <n v="15"/>
    <x v="2"/>
    <x v="1"/>
    <n v="3180"/>
    <n v="-44520"/>
    <n v="47700"/>
  </r>
  <r>
    <x v="489"/>
    <x v="8"/>
    <d v="2024-01-08T00:00:00"/>
    <x v="30"/>
    <x v="92"/>
    <n v="2"/>
    <n v="1252"/>
    <n v="5"/>
    <x v="2"/>
    <x v="2"/>
    <n v="2504"/>
    <n v="-10016"/>
    <n v="12520"/>
  </r>
  <r>
    <x v="490"/>
    <x v="8"/>
    <d v="2024-01-07T00:00:00"/>
    <x v="241"/>
    <x v="11"/>
    <n v="2"/>
    <n v="364"/>
    <n v="5"/>
    <x v="0"/>
    <x v="2"/>
    <n v="728"/>
    <n v="-2912"/>
    <n v="3640"/>
  </r>
  <r>
    <x v="491"/>
    <x v="9"/>
    <d v="2024-01-07T00:00:00"/>
    <x v="23"/>
    <x v="29"/>
    <n v="2"/>
    <n v="533"/>
    <n v="15"/>
    <x v="0"/>
    <x v="1"/>
    <n v="1066"/>
    <n v="-14924"/>
    <n v="15990"/>
  </r>
  <r>
    <x v="492"/>
    <x v="273"/>
    <d v="2024-01-11T00:00:00"/>
    <x v="242"/>
    <x v="36"/>
    <n v="2"/>
    <n v="652"/>
    <n v="5"/>
    <x v="2"/>
    <x v="1"/>
    <n v="1304"/>
    <n v="-5216"/>
    <n v="6520"/>
  </r>
  <r>
    <x v="493"/>
    <x v="273"/>
    <d v="2024-01-05T00:00:00"/>
    <x v="156"/>
    <x v="31"/>
    <n v="2"/>
    <n v="520"/>
    <n v="15"/>
    <x v="1"/>
    <x v="1"/>
    <n v="1040"/>
    <n v="-14560"/>
    <n v="15600"/>
  </r>
  <r>
    <x v="494"/>
    <x v="10"/>
    <d v="2024-01-07T00:00:00"/>
    <x v="76"/>
    <x v="35"/>
    <n v="2"/>
    <n v="656"/>
    <n v="15"/>
    <x v="1"/>
    <x v="1"/>
    <n v="1312"/>
    <n v="-18368"/>
    <n v="19680"/>
  </r>
  <r>
    <x v="495"/>
    <x v="181"/>
    <d v="2024-01-09T00:00:00"/>
    <x v="146"/>
    <x v="54"/>
    <n v="2"/>
    <n v="254"/>
    <n v="15"/>
    <x v="2"/>
    <x v="3"/>
    <n v="508"/>
    <n v="-7112"/>
    <n v="7620"/>
  </r>
  <r>
    <x v="496"/>
    <x v="11"/>
    <d v="2024-01-05T00:00:00"/>
    <x v="56"/>
    <x v="53"/>
    <n v="2"/>
    <n v="964"/>
    <n v="15"/>
    <x v="1"/>
    <x v="0"/>
    <n v="1928"/>
    <n v="-26992"/>
    <n v="28920"/>
  </r>
  <r>
    <x v="497"/>
    <x v="12"/>
    <d v="2024-01-10T00:00:00"/>
    <x v="113"/>
    <x v="47"/>
    <n v="2"/>
    <n v="1033"/>
    <n v="0"/>
    <x v="3"/>
    <x v="2"/>
    <n v="2066"/>
    <n v="2066"/>
    <n v="0"/>
  </r>
  <r>
    <x v="498"/>
    <x v="12"/>
    <d v="2024-01-07T00:00:00"/>
    <x v="28"/>
    <x v="7"/>
    <n v="2"/>
    <n v="1021"/>
    <n v="0"/>
    <x v="3"/>
    <x v="0"/>
    <n v="2042"/>
    <n v="2042"/>
    <n v="0"/>
  </r>
  <r>
    <x v="499"/>
    <x v="274"/>
    <d v="2024-01-11T00:00:00"/>
    <x v="243"/>
    <x v="16"/>
    <n v="2"/>
    <n v="421"/>
    <n v="10"/>
    <x v="0"/>
    <x v="0"/>
    <n v="842"/>
    <n v="-7578"/>
    <n v="8420"/>
  </r>
  <r>
    <x v="500"/>
    <x v="274"/>
    <d v="2024-01-09T00:00:00"/>
    <x v="244"/>
    <x v="37"/>
    <n v="2"/>
    <n v="1662"/>
    <n v="0"/>
    <x v="0"/>
    <x v="2"/>
    <n v="3324"/>
    <n v="3324"/>
    <n v="0"/>
  </r>
  <r>
    <x v="501"/>
    <x v="275"/>
    <d v="2024-01-04T00:00:00"/>
    <x v="170"/>
    <x v="5"/>
    <n v="2"/>
    <n v="279"/>
    <n v="5"/>
    <x v="0"/>
    <x v="1"/>
    <n v="558"/>
    <n v="-2232"/>
    <n v="2790"/>
  </r>
  <r>
    <x v="502"/>
    <x v="15"/>
    <d v="2024-01-04T00:00:00"/>
    <x v="225"/>
    <x v="43"/>
    <n v="2"/>
    <n v="1030"/>
    <n v="10"/>
    <x v="3"/>
    <x v="2"/>
    <n v="2060"/>
    <n v="-18540"/>
    <n v="20600"/>
  </r>
  <r>
    <x v="503"/>
    <x v="276"/>
    <d v="2024-01-10T00:00:00"/>
    <x v="12"/>
    <x v="0"/>
    <n v="2"/>
    <n v="1388"/>
    <n v="5"/>
    <x v="0"/>
    <x v="0"/>
    <n v="2776"/>
    <n v="-11104"/>
    <n v="13880"/>
  </r>
  <r>
    <x v="504"/>
    <x v="277"/>
    <d v="2024-01-07T00:00:00"/>
    <x v="87"/>
    <x v="39"/>
    <n v="2"/>
    <n v="627"/>
    <n v="5"/>
    <x v="1"/>
    <x v="1"/>
    <n v="1254"/>
    <n v="-5016"/>
    <n v="6270"/>
  </r>
  <r>
    <x v="505"/>
    <x v="277"/>
    <d v="2024-01-09T00:00:00"/>
    <x v="124"/>
    <x v="2"/>
    <n v="2"/>
    <n v="1014"/>
    <n v="5"/>
    <x v="1"/>
    <x v="0"/>
    <n v="2028"/>
    <n v="-8112"/>
    <n v="10140"/>
  </r>
  <r>
    <x v="506"/>
    <x v="17"/>
    <d v="2024-01-10T00:00:00"/>
    <x v="139"/>
    <x v="71"/>
    <n v="2"/>
    <n v="1833"/>
    <n v="5"/>
    <x v="3"/>
    <x v="0"/>
    <n v="3666"/>
    <n v="-14664"/>
    <n v="18330"/>
  </r>
  <r>
    <x v="507"/>
    <x v="17"/>
    <d v="2024-01-05T00:00:00"/>
    <x v="204"/>
    <x v="63"/>
    <n v="2"/>
    <n v="1416"/>
    <n v="5"/>
    <x v="1"/>
    <x v="3"/>
    <n v="2832"/>
    <n v="-11328"/>
    <n v="14160"/>
  </r>
  <r>
    <x v="508"/>
    <x v="19"/>
    <d v="2024-01-11T00:00:00"/>
    <x v="245"/>
    <x v="89"/>
    <n v="2"/>
    <n v="1193"/>
    <n v="10"/>
    <x v="2"/>
    <x v="2"/>
    <n v="2386"/>
    <n v="-21474"/>
    <n v="23860"/>
  </r>
  <r>
    <x v="509"/>
    <x v="19"/>
    <d v="2024-01-08T00:00:00"/>
    <x v="203"/>
    <x v="36"/>
    <n v="2"/>
    <n v="1176"/>
    <n v="10"/>
    <x v="1"/>
    <x v="2"/>
    <n v="2352"/>
    <n v="-21168"/>
    <n v="23520"/>
  </r>
  <r>
    <x v="510"/>
    <x v="190"/>
    <d v="2024-01-09T00:00:00"/>
    <x v="81"/>
    <x v="66"/>
    <n v="2"/>
    <n v="1225"/>
    <n v="0"/>
    <x v="1"/>
    <x v="2"/>
    <n v="2450"/>
    <n v="2450"/>
    <n v="0"/>
  </r>
  <r>
    <x v="511"/>
    <x v="190"/>
    <d v="2024-01-09T00:00:00"/>
    <x v="246"/>
    <x v="88"/>
    <n v="2"/>
    <n v="356"/>
    <n v="10"/>
    <x v="1"/>
    <x v="0"/>
    <n v="712"/>
    <n v="-6408"/>
    <n v="7120"/>
  </r>
  <r>
    <x v="512"/>
    <x v="190"/>
    <d v="2024-01-06T00:00:00"/>
    <x v="238"/>
    <x v="83"/>
    <n v="2"/>
    <n v="369"/>
    <n v="5"/>
    <x v="1"/>
    <x v="2"/>
    <n v="738"/>
    <n v="-2952"/>
    <n v="3690"/>
  </r>
  <r>
    <x v="513"/>
    <x v="21"/>
    <d v="2024-01-06T00:00:00"/>
    <x v="26"/>
    <x v="64"/>
    <n v="2"/>
    <n v="862"/>
    <n v="0"/>
    <x v="3"/>
    <x v="0"/>
    <n v="1724"/>
    <n v="1724"/>
    <n v="0"/>
  </r>
  <r>
    <x v="514"/>
    <x v="278"/>
    <d v="2024-01-03T00:00:00"/>
    <x v="191"/>
    <x v="19"/>
    <n v="2"/>
    <n v="844"/>
    <n v="10"/>
    <x v="3"/>
    <x v="1"/>
    <n v="1688"/>
    <n v="-15192"/>
    <n v="16880"/>
  </r>
  <r>
    <x v="515"/>
    <x v="279"/>
    <d v="2024-01-10T00:00:00"/>
    <x v="247"/>
    <x v="21"/>
    <n v="2"/>
    <n v="297"/>
    <n v="5"/>
    <x v="0"/>
    <x v="3"/>
    <n v="594"/>
    <n v="-2376"/>
    <n v="2970"/>
  </r>
  <r>
    <x v="516"/>
    <x v="279"/>
    <d v="2024-01-07T00:00:00"/>
    <x v="248"/>
    <x v="16"/>
    <n v="2"/>
    <n v="317"/>
    <n v="10"/>
    <x v="0"/>
    <x v="1"/>
    <n v="634"/>
    <n v="-5706"/>
    <n v="6340"/>
  </r>
  <r>
    <x v="517"/>
    <x v="191"/>
    <d v="2024-01-09T00:00:00"/>
    <x v="82"/>
    <x v="46"/>
    <n v="2"/>
    <n v="762"/>
    <n v="0"/>
    <x v="2"/>
    <x v="1"/>
    <n v="1524"/>
    <n v="1524"/>
    <n v="0"/>
  </r>
  <r>
    <x v="518"/>
    <x v="23"/>
    <d v="2024-01-10T00:00:00"/>
    <x v="164"/>
    <x v="59"/>
    <n v="2"/>
    <n v="415"/>
    <n v="0"/>
    <x v="0"/>
    <x v="2"/>
    <n v="830"/>
    <n v="830"/>
    <n v="0"/>
  </r>
  <r>
    <x v="519"/>
    <x v="24"/>
    <d v="2024-01-07T00:00:00"/>
    <x v="127"/>
    <x v="9"/>
    <n v="2"/>
    <n v="1276"/>
    <n v="10"/>
    <x v="0"/>
    <x v="2"/>
    <n v="2552"/>
    <n v="-22968"/>
    <n v="25520"/>
  </r>
  <r>
    <x v="520"/>
    <x v="25"/>
    <d v="2024-01-10T00:00:00"/>
    <x v="224"/>
    <x v="76"/>
    <n v="2"/>
    <n v="1539"/>
    <n v="0"/>
    <x v="0"/>
    <x v="0"/>
    <n v="3078"/>
    <n v="3078"/>
    <n v="0"/>
  </r>
  <r>
    <x v="521"/>
    <x v="192"/>
    <d v="2024-01-04T00:00:00"/>
    <x v="249"/>
    <x v="16"/>
    <n v="2"/>
    <n v="406"/>
    <n v="5"/>
    <x v="1"/>
    <x v="0"/>
    <n v="812"/>
    <n v="-3248"/>
    <n v="4060"/>
  </r>
  <r>
    <x v="522"/>
    <x v="192"/>
    <d v="2024-01-09T00:00:00"/>
    <x v="213"/>
    <x v="46"/>
    <n v="2"/>
    <n v="345"/>
    <n v="5"/>
    <x v="1"/>
    <x v="2"/>
    <n v="690"/>
    <n v="-2760"/>
    <n v="3450"/>
  </r>
  <r>
    <x v="523"/>
    <x v="280"/>
    <d v="2024-01-05T00:00:00"/>
    <x v="18"/>
    <x v="46"/>
    <n v="2"/>
    <n v="284"/>
    <n v="10"/>
    <x v="1"/>
    <x v="2"/>
    <n v="568"/>
    <n v="-5112"/>
    <n v="5680"/>
  </r>
  <r>
    <x v="524"/>
    <x v="280"/>
    <d v="2024-01-04T00:00:00"/>
    <x v="250"/>
    <x v="0"/>
    <n v="2"/>
    <n v="1556"/>
    <n v="5"/>
    <x v="2"/>
    <x v="3"/>
    <n v="3112"/>
    <n v="-12448"/>
    <n v="15560"/>
  </r>
  <r>
    <x v="525"/>
    <x v="281"/>
    <d v="2024-01-04T00:00:00"/>
    <x v="30"/>
    <x v="41"/>
    <n v="2"/>
    <n v="1037"/>
    <n v="0"/>
    <x v="3"/>
    <x v="1"/>
    <n v="2074"/>
    <n v="2074"/>
    <n v="0"/>
  </r>
  <r>
    <x v="526"/>
    <x v="281"/>
    <d v="2024-01-05T00:00:00"/>
    <x v="251"/>
    <x v="84"/>
    <n v="2"/>
    <n v="933"/>
    <n v="0"/>
    <x v="2"/>
    <x v="2"/>
    <n v="1866"/>
    <n v="1866"/>
    <n v="0"/>
  </r>
  <r>
    <x v="527"/>
    <x v="281"/>
    <d v="2024-01-04T00:00:00"/>
    <x v="122"/>
    <x v="96"/>
    <n v="2"/>
    <n v="1422"/>
    <n v="5"/>
    <x v="3"/>
    <x v="0"/>
    <n v="2844"/>
    <n v="-11376"/>
    <n v="14220"/>
  </r>
  <r>
    <x v="528"/>
    <x v="26"/>
    <d v="2024-01-03T00:00:00"/>
    <x v="184"/>
    <x v="35"/>
    <n v="2"/>
    <n v="1920"/>
    <n v="5"/>
    <x v="3"/>
    <x v="1"/>
    <n v="3840"/>
    <n v="-15360"/>
    <n v="19200"/>
  </r>
  <r>
    <x v="529"/>
    <x v="26"/>
    <d v="2024-01-08T00:00:00"/>
    <x v="84"/>
    <x v="12"/>
    <n v="2"/>
    <n v="1742"/>
    <n v="5"/>
    <x v="1"/>
    <x v="0"/>
    <n v="3484"/>
    <n v="-13936"/>
    <n v="17420"/>
  </r>
  <r>
    <x v="530"/>
    <x v="27"/>
    <d v="2024-01-06T00:00:00"/>
    <x v="54"/>
    <x v="17"/>
    <n v="2"/>
    <n v="698"/>
    <n v="10"/>
    <x v="2"/>
    <x v="0"/>
    <n v="1396"/>
    <n v="-12564"/>
    <n v="13960"/>
  </r>
  <r>
    <x v="531"/>
    <x v="27"/>
    <d v="2024-01-07T00:00:00"/>
    <x v="133"/>
    <x v="26"/>
    <n v="2"/>
    <n v="1749"/>
    <n v="15"/>
    <x v="0"/>
    <x v="1"/>
    <n v="3498"/>
    <n v="-48972"/>
    <n v="52470"/>
  </r>
  <r>
    <x v="532"/>
    <x v="282"/>
    <d v="2024-01-06T00:00:00"/>
    <x v="252"/>
    <x v="17"/>
    <n v="2"/>
    <n v="1557"/>
    <n v="5"/>
    <x v="2"/>
    <x v="3"/>
    <n v="3114"/>
    <n v="-12456"/>
    <n v="15570"/>
  </r>
  <r>
    <x v="533"/>
    <x v="283"/>
    <d v="2024-01-10T00:00:00"/>
    <x v="96"/>
    <x v="78"/>
    <n v="2"/>
    <n v="587"/>
    <n v="10"/>
    <x v="2"/>
    <x v="3"/>
    <n v="1174"/>
    <n v="-10566"/>
    <n v="11740"/>
  </r>
  <r>
    <x v="534"/>
    <x v="283"/>
    <d v="2024-01-05T00:00:00"/>
    <x v="233"/>
    <x v="2"/>
    <n v="2"/>
    <n v="1258"/>
    <n v="15"/>
    <x v="3"/>
    <x v="0"/>
    <n v="2516"/>
    <n v="-35224"/>
    <n v="37740"/>
  </r>
  <r>
    <x v="535"/>
    <x v="283"/>
    <d v="2024-01-05T00:00:00"/>
    <x v="21"/>
    <x v="99"/>
    <n v="2"/>
    <n v="1151"/>
    <n v="10"/>
    <x v="3"/>
    <x v="3"/>
    <n v="2302"/>
    <n v="-20718"/>
    <n v="23020"/>
  </r>
  <r>
    <x v="536"/>
    <x v="193"/>
    <d v="2024-01-03T00:00:00"/>
    <x v="212"/>
    <x v="68"/>
    <n v="2"/>
    <n v="1488"/>
    <n v="10"/>
    <x v="0"/>
    <x v="1"/>
    <n v="2976"/>
    <n v="-26784"/>
    <n v="29760"/>
  </r>
  <r>
    <x v="537"/>
    <x v="194"/>
    <d v="2024-01-03T00:00:00"/>
    <x v="127"/>
    <x v="9"/>
    <n v="2"/>
    <n v="1912"/>
    <n v="10"/>
    <x v="1"/>
    <x v="3"/>
    <n v="3824"/>
    <n v="-34416"/>
    <n v="38240"/>
  </r>
  <r>
    <x v="538"/>
    <x v="194"/>
    <d v="2024-01-07T00:00:00"/>
    <x v="253"/>
    <x v="34"/>
    <n v="2"/>
    <n v="1326"/>
    <n v="10"/>
    <x v="0"/>
    <x v="2"/>
    <n v="2652"/>
    <n v="-23868"/>
    <n v="26520"/>
  </r>
  <r>
    <x v="539"/>
    <x v="194"/>
    <d v="2024-01-06T00:00:00"/>
    <x v="57"/>
    <x v="44"/>
    <n v="2"/>
    <n v="1855"/>
    <n v="5"/>
    <x v="2"/>
    <x v="2"/>
    <n v="3710"/>
    <n v="-14840"/>
    <n v="18550"/>
  </r>
  <r>
    <x v="540"/>
    <x v="194"/>
    <d v="2024-01-03T00:00:00"/>
    <x v="202"/>
    <x v="10"/>
    <n v="2"/>
    <n v="559"/>
    <n v="0"/>
    <x v="3"/>
    <x v="2"/>
    <n v="1118"/>
    <n v="1118"/>
    <n v="0"/>
  </r>
  <r>
    <x v="541"/>
    <x v="284"/>
    <d v="2024-01-08T00:00:00"/>
    <x v="248"/>
    <x v="60"/>
    <n v="2"/>
    <n v="1232"/>
    <n v="0"/>
    <x v="0"/>
    <x v="1"/>
    <n v="2464"/>
    <n v="2464"/>
    <n v="0"/>
  </r>
  <r>
    <x v="542"/>
    <x v="284"/>
    <d v="2024-01-06T00:00:00"/>
    <x v="137"/>
    <x v="30"/>
    <n v="2"/>
    <n v="876"/>
    <n v="15"/>
    <x v="2"/>
    <x v="1"/>
    <n v="1752"/>
    <n v="-24528"/>
    <n v="26280"/>
  </r>
  <r>
    <x v="543"/>
    <x v="285"/>
    <d v="2024-01-09T00:00:00"/>
    <x v="254"/>
    <x v="30"/>
    <n v="2"/>
    <n v="779"/>
    <n v="15"/>
    <x v="0"/>
    <x v="0"/>
    <n v="1558"/>
    <n v="-21812"/>
    <n v="23370"/>
  </r>
  <r>
    <x v="544"/>
    <x v="34"/>
    <d v="2024-01-11T00:00:00"/>
    <x v="210"/>
    <x v="31"/>
    <n v="2"/>
    <n v="217"/>
    <n v="0"/>
    <x v="2"/>
    <x v="2"/>
    <n v="434"/>
    <n v="434"/>
    <n v="0"/>
  </r>
  <r>
    <x v="545"/>
    <x v="196"/>
    <d v="2024-01-03T00:00:00"/>
    <x v="36"/>
    <x v="48"/>
    <n v="2"/>
    <n v="1704"/>
    <n v="10"/>
    <x v="2"/>
    <x v="3"/>
    <n v="3408"/>
    <n v="-30672"/>
    <n v="34080"/>
  </r>
  <r>
    <x v="546"/>
    <x v="35"/>
    <d v="2024-01-08T00:00:00"/>
    <x v="141"/>
    <x v="54"/>
    <n v="2"/>
    <n v="1950"/>
    <n v="0"/>
    <x v="2"/>
    <x v="3"/>
    <n v="3900"/>
    <n v="3900"/>
    <n v="0"/>
  </r>
  <r>
    <x v="547"/>
    <x v="197"/>
    <d v="2024-01-07T00:00:00"/>
    <x v="31"/>
    <x v="90"/>
    <n v="2"/>
    <n v="348"/>
    <n v="10"/>
    <x v="0"/>
    <x v="2"/>
    <n v="696"/>
    <n v="-6264"/>
    <n v="6960"/>
  </r>
  <r>
    <x v="548"/>
    <x v="286"/>
    <d v="2024-01-05T00:00:00"/>
    <x v="188"/>
    <x v="90"/>
    <n v="2"/>
    <n v="1377"/>
    <n v="0"/>
    <x v="3"/>
    <x v="0"/>
    <n v="2754"/>
    <n v="2754"/>
    <n v="0"/>
  </r>
  <r>
    <x v="549"/>
    <x v="286"/>
    <d v="2024-01-07T00:00:00"/>
    <x v="255"/>
    <x v="85"/>
    <n v="2"/>
    <n v="1409"/>
    <n v="10"/>
    <x v="1"/>
    <x v="1"/>
    <n v="2818"/>
    <n v="-25362"/>
    <n v="28180"/>
  </r>
  <r>
    <x v="550"/>
    <x v="287"/>
    <d v="2024-01-06T00:00:00"/>
    <x v="256"/>
    <x v="49"/>
    <n v="2"/>
    <n v="1832"/>
    <n v="5"/>
    <x v="3"/>
    <x v="0"/>
    <n v="3664"/>
    <n v="-14656"/>
    <n v="18320"/>
  </r>
  <r>
    <x v="551"/>
    <x v="38"/>
    <d v="2024-01-09T00:00:00"/>
    <x v="221"/>
    <x v="79"/>
    <n v="2"/>
    <n v="815"/>
    <n v="15"/>
    <x v="2"/>
    <x v="1"/>
    <n v="1630"/>
    <n v="-22820"/>
    <n v="24450"/>
  </r>
  <r>
    <x v="552"/>
    <x v="39"/>
    <d v="2024-01-07T00:00:00"/>
    <x v="19"/>
    <x v="93"/>
    <n v="2"/>
    <n v="1076"/>
    <n v="5"/>
    <x v="2"/>
    <x v="1"/>
    <n v="2152"/>
    <n v="-8608"/>
    <n v="10760"/>
  </r>
  <r>
    <x v="553"/>
    <x v="198"/>
    <d v="2024-01-11T00:00:00"/>
    <x v="236"/>
    <x v="49"/>
    <n v="2"/>
    <n v="869"/>
    <n v="15"/>
    <x v="2"/>
    <x v="3"/>
    <n v="1738"/>
    <n v="-24332"/>
    <n v="26070"/>
  </r>
  <r>
    <x v="554"/>
    <x v="199"/>
    <d v="2024-01-10T00:00:00"/>
    <x v="74"/>
    <x v="28"/>
    <n v="2"/>
    <n v="728"/>
    <n v="15"/>
    <x v="1"/>
    <x v="0"/>
    <n v="1456"/>
    <n v="-20384"/>
    <n v="21840"/>
  </r>
  <r>
    <x v="555"/>
    <x v="40"/>
    <d v="2024-01-10T00:00:00"/>
    <x v="257"/>
    <x v="17"/>
    <n v="2"/>
    <n v="1920"/>
    <n v="5"/>
    <x v="1"/>
    <x v="1"/>
    <n v="3840"/>
    <n v="-15360"/>
    <n v="19200"/>
  </r>
  <r>
    <x v="556"/>
    <x v="288"/>
    <d v="2024-01-06T00:00:00"/>
    <x v="258"/>
    <x v="61"/>
    <n v="2"/>
    <n v="827"/>
    <n v="10"/>
    <x v="3"/>
    <x v="2"/>
    <n v="1654"/>
    <n v="-14886"/>
    <n v="16540"/>
  </r>
  <r>
    <x v="557"/>
    <x v="288"/>
    <d v="2024-01-08T00:00:00"/>
    <x v="53"/>
    <x v="87"/>
    <n v="2"/>
    <n v="587"/>
    <n v="10"/>
    <x v="2"/>
    <x v="1"/>
    <n v="1174"/>
    <n v="-10566"/>
    <n v="11740"/>
  </r>
  <r>
    <x v="558"/>
    <x v="41"/>
    <d v="2024-01-11T00:00:00"/>
    <x v="231"/>
    <x v="26"/>
    <n v="2"/>
    <n v="442"/>
    <n v="5"/>
    <x v="1"/>
    <x v="1"/>
    <n v="884"/>
    <n v="-3536"/>
    <n v="4420"/>
  </r>
  <r>
    <x v="559"/>
    <x v="200"/>
    <d v="2024-01-05T00:00:00"/>
    <x v="259"/>
    <x v="82"/>
    <n v="2"/>
    <n v="681"/>
    <n v="5"/>
    <x v="2"/>
    <x v="1"/>
    <n v="1362"/>
    <n v="-5448"/>
    <n v="6810"/>
  </r>
  <r>
    <x v="560"/>
    <x v="200"/>
    <d v="2024-01-08T00:00:00"/>
    <x v="215"/>
    <x v="69"/>
    <n v="2"/>
    <n v="435"/>
    <n v="10"/>
    <x v="2"/>
    <x v="1"/>
    <n v="870"/>
    <n v="-7830"/>
    <n v="8700"/>
  </r>
  <r>
    <x v="561"/>
    <x v="201"/>
    <d v="2024-01-10T00:00:00"/>
    <x v="99"/>
    <x v="72"/>
    <n v="2"/>
    <n v="1520"/>
    <n v="5"/>
    <x v="1"/>
    <x v="1"/>
    <n v="3040"/>
    <n v="-12160"/>
    <n v="15200"/>
  </r>
  <r>
    <x v="562"/>
    <x v="43"/>
    <d v="2024-01-04T00:00:00"/>
    <x v="14"/>
    <x v="21"/>
    <n v="2"/>
    <n v="954"/>
    <n v="15"/>
    <x v="2"/>
    <x v="3"/>
    <n v="1908"/>
    <n v="-26712"/>
    <n v="28620"/>
  </r>
  <r>
    <x v="563"/>
    <x v="46"/>
    <d v="2024-01-06T00:00:00"/>
    <x v="25"/>
    <x v="18"/>
    <n v="2"/>
    <n v="1061"/>
    <n v="0"/>
    <x v="3"/>
    <x v="1"/>
    <n v="2122"/>
    <n v="2122"/>
    <n v="0"/>
  </r>
  <r>
    <x v="564"/>
    <x v="46"/>
    <d v="2024-01-09T00:00:00"/>
    <x v="234"/>
    <x v="69"/>
    <n v="2"/>
    <n v="1330"/>
    <n v="15"/>
    <x v="0"/>
    <x v="1"/>
    <n v="2660"/>
    <n v="-37240"/>
    <n v="39900"/>
  </r>
  <r>
    <x v="565"/>
    <x v="289"/>
    <d v="2024-01-05T00:00:00"/>
    <x v="195"/>
    <x v="3"/>
    <n v="2"/>
    <n v="1580"/>
    <n v="5"/>
    <x v="2"/>
    <x v="3"/>
    <n v="3160"/>
    <n v="-12640"/>
    <n v="15800"/>
  </r>
  <r>
    <x v="566"/>
    <x v="204"/>
    <d v="2024-01-03T00:00:00"/>
    <x v="155"/>
    <x v="68"/>
    <n v="2"/>
    <n v="1674"/>
    <n v="5"/>
    <x v="1"/>
    <x v="0"/>
    <n v="3348"/>
    <n v="-13392"/>
    <n v="16740"/>
  </r>
  <r>
    <x v="567"/>
    <x v="49"/>
    <d v="2024-01-10T00:00:00"/>
    <x v="226"/>
    <x v="45"/>
    <n v="2"/>
    <n v="315"/>
    <n v="0"/>
    <x v="3"/>
    <x v="0"/>
    <n v="630"/>
    <n v="630"/>
    <n v="0"/>
  </r>
  <r>
    <x v="568"/>
    <x v="290"/>
    <d v="2024-01-09T00:00:00"/>
    <x v="46"/>
    <x v="11"/>
    <n v="2"/>
    <n v="1059"/>
    <n v="15"/>
    <x v="1"/>
    <x v="2"/>
    <n v="2118"/>
    <n v="-29652"/>
    <n v="31770"/>
  </r>
  <r>
    <x v="569"/>
    <x v="206"/>
    <d v="2024-01-11T00:00:00"/>
    <x v="126"/>
    <x v="54"/>
    <n v="2"/>
    <n v="1939"/>
    <n v="10"/>
    <x v="1"/>
    <x v="3"/>
    <n v="3878"/>
    <n v="-34902"/>
    <n v="38780"/>
  </r>
  <r>
    <x v="570"/>
    <x v="206"/>
    <d v="2024-01-05T00:00:00"/>
    <x v="257"/>
    <x v="15"/>
    <n v="2"/>
    <n v="490"/>
    <n v="0"/>
    <x v="0"/>
    <x v="2"/>
    <n v="980"/>
    <n v="980"/>
    <n v="0"/>
  </r>
  <r>
    <x v="571"/>
    <x v="291"/>
    <d v="2024-01-09T00:00:00"/>
    <x v="260"/>
    <x v="31"/>
    <n v="2"/>
    <n v="894"/>
    <n v="15"/>
    <x v="1"/>
    <x v="2"/>
    <n v="1788"/>
    <n v="-25032"/>
    <n v="26820"/>
  </r>
  <r>
    <x v="572"/>
    <x v="291"/>
    <d v="2024-01-10T00:00:00"/>
    <x v="117"/>
    <x v="55"/>
    <n v="2"/>
    <n v="793"/>
    <n v="10"/>
    <x v="2"/>
    <x v="0"/>
    <n v="1586"/>
    <n v="-14274"/>
    <n v="15860"/>
  </r>
  <r>
    <x v="573"/>
    <x v="52"/>
    <d v="2024-01-11T00:00:00"/>
    <x v="10"/>
    <x v="96"/>
    <n v="2"/>
    <n v="1283"/>
    <n v="10"/>
    <x v="2"/>
    <x v="3"/>
    <n v="2566"/>
    <n v="-23094"/>
    <n v="25660"/>
  </r>
  <r>
    <x v="574"/>
    <x v="57"/>
    <d v="2024-01-03T00:00:00"/>
    <x v="15"/>
    <x v="54"/>
    <n v="2"/>
    <n v="1121"/>
    <n v="10"/>
    <x v="2"/>
    <x v="1"/>
    <n v="2242"/>
    <n v="-20178"/>
    <n v="22420"/>
  </r>
  <r>
    <x v="575"/>
    <x v="59"/>
    <d v="2024-01-05T00:00:00"/>
    <x v="34"/>
    <x v="85"/>
    <n v="2"/>
    <n v="1143"/>
    <n v="10"/>
    <x v="0"/>
    <x v="3"/>
    <n v="2286"/>
    <n v="-20574"/>
    <n v="22860"/>
  </r>
  <r>
    <x v="576"/>
    <x v="60"/>
    <d v="2024-01-10T00:00:00"/>
    <x v="67"/>
    <x v="95"/>
    <n v="2"/>
    <n v="677"/>
    <n v="0"/>
    <x v="3"/>
    <x v="2"/>
    <n v="1354"/>
    <n v="1354"/>
    <n v="0"/>
  </r>
  <r>
    <x v="577"/>
    <x v="292"/>
    <d v="2024-01-10T00:00:00"/>
    <x v="232"/>
    <x v="50"/>
    <n v="2"/>
    <n v="661"/>
    <n v="15"/>
    <x v="3"/>
    <x v="0"/>
    <n v="1322"/>
    <n v="-18508"/>
    <n v="19830"/>
  </r>
  <r>
    <x v="578"/>
    <x v="61"/>
    <d v="2024-01-05T00:00:00"/>
    <x v="52"/>
    <x v="21"/>
    <n v="2"/>
    <n v="862"/>
    <n v="10"/>
    <x v="1"/>
    <x v="2"/>
    <n v="1724"/>
    <n v="-15516"/>
    <n v="17240"/>
  </r>
  <r>
    <x v="579"/>
    <x v="293"/>
    <d v="2024-01-07T00:00:00"/>
    <x v="97"/>
    <x v="29"/>
    <n v="2"/>
    <n v="311"/>
    <n v="15"/>
    <x v="3"/>
    <x v="1"/>
    <n v="622"/>
    <n v="-8708"/>
    <n v="9330"/>
  </r>
  <r>
    <x v="580"/>
    <x v="293"/>
    <d v="2024-01-04T00:00:00"/>
    <x v="203"/>
    <x v="28"/>
    <n v="2"/>
    <n v="808"/>
    <n v="15"/>
    <x v="3"/>
    <x v="2"/>
    <n v="1616"/>
    <n v="-22624"/>
    <n v="24240"/>
  </r>
  <r>
    <x v="581"/>
    <x v="62"/>
    <d v="2024-01-06T00:00:00"/>
    <x v="111"/>
    <x v="23"/>
    <n v="2"/>
    <n v="725"/>
    <n v="15"/>
    <x v="3"/>
    <x v="3"/>
    <n v="1450"/>
    <n v="-20300"/>
    <n v="21750"/>
  </r>
  <r>
    <x v="582"/>
    <x v="209"/>
    <d v="2024-01-10T00:00:00"/>
    <x v="125"/>
    <x v="34"/>
    <n v="2"/>
    <n v="1667"/>
    <n v="15"/>
    <x v="3"/>
    <x v="1"/>
    <n v="3334"/>
    <n v="-46676"/>
    <n v="50010"/>
  </r>
  <r>
    <x v="583"/>
    <x v="63"/>
    <d v="2024-01-08T00:00:00"/>
    <x v="242"/>
    <x v="23"/>
    <n v="2"/>
    <n v="1752"/>
    <n v="15"/>
    <x v="2"/>
    <x v="1"/>
    <n v="3504"/>
    <n v="-49056"/>
    <n v="52560"/>
  </r>
  <r>
    <x v="584"/>
    <x v="64"/>
    <d v="2024-01-08T00:00:00"/>
    <x v="210"/>
    <x v="9"/>
    <n v="2"/>
    <n v="1088"/>
    <n v="5"/>
    <x v="1"/>
    <x v="1"/>
    <n v="2176"/>
    <n v="-8704"/>
    <n v="10880"/>
  </r>
  <r>
    <x v="585"/>
    <x v="68"/>
    <d v="2024-01-08T00:00:00"/>
    <x v="66"/>
    <x v="58"/>
    <n v="2"/>
    <n v="1792"/>
    <n v="15"/>
    <x v="2"/>
    <x v="1"/>
    <n v="3584"/>
    <n v="-50176"/>
    <n v="53760"/>
  </r>
  <r>
    <x v="586"/>
    <x v="72"/>
    <d v="2024-01-06T00:00:00"/>
    <x v="218"/>
    <x v="65"/>
    <n v="2"/>
    <n v="481"/>
    <n v="5"/>
    <x v="3"/>
    <x v="0"/>
    <n v="962"/>
    <n v="-3848"/>
    <n v="4810"/>
  </r>
  <r>
    <x v="587"/>
    <x v="73"/>
    <d v="2024-01-10T00:00:00"/>
    <x v="196"/>
    <x v="79"/>
    <n v="2"/>
    <n v="283"/>
    <n v="5"/>
    <x v="3"/>
    <x v="0"/>
    <n v="566"/>
    <n v="-2264"/>
    <n v="2830"/>
  </r>
  <r>
    <x v="588"/>
    <x v="213"/>
    <d v="2024-01-08T00:00:00"/>
    <x v="23"/>
    <x v="83"/>
    <n v="2"/>
    <n v="1305"/>
    <n v="5"/>
    <x v="3"/>
    <x v="3"/>
    <n v="2610"/>
    <n v="-10440"/>
    <n v="13050"/>
  </r>
  <r>
    <x v="589"/>
    <x v="75"/>
    <d v="2024-01-09T00:00:00"/>
    <x v="176"/>
    <x v="58"/>
    <n v="2"/>
    <n v="285"/>
    <n v="10"/>
    <x v="0"/>
    <x v="2"/>
    <n v="570"/>
    <n v="-5130"/>
    <n v="5700"/>
  </r>
  <r>
    <x v="590"/>
    <x v="215"/>
    <d v="2024-01-10T00:00:00"/>
    <x v="226"/>
    <x v="10"/>
    <n v="2"/>
    <n v="1684"/>
    <n v="10"/>
    <x v="1"/>
    <x v="1"/>
    <n v="3368"/>
    <n v="-30312"/>
    <n v="33680"/>
  </r>
  <r>
    <x v="591"/>
    <x v="215"/>
    <d v="2024-01-09T00:00:00"/>
    <x v="198"/>
    <x v="21"/>
    <n v="2"/>
    <n v="545"/>
    <n v="5"/>
    <x v="3"/>
    <x v="0"/>
    <n v="1090"/>
    <n v="-4360"/>
    <n v="5450"/>
  </r>
  <r>
    <x v="592"/>
    <x v="216"/>
    <d v="2024-01-04T00:00:00"/>
    <x v="140"/>
    <x v="46"/>
    <n v="2"/>
    <n v="1799"/>
    <n v="10"/>
    <x v="3"/>
    <x v="0"/>
    <n v="3598"/>
    <n v="-32382"/>
    <n v="35980"/>
  </r>
  <r>
    <x v="593"/>
    <x v="218"/>
    <d v="2024-01-08T00:00:00"/>
    <x v="40"/>
    <x v="66"/>
    <n v="2"/>
    <n v="795"/>
    <n v="10"/>
    <x v="2"/>
    <x v="1"/>
    <n v="1590"/>
    <n v="-14310"/>
    <n v="15900"/>
  </r>
  <r>
    <x v="594"/>
    <x v="218"/>
    <d v="2024-01-10T00:00:00"/>
    <x v="10"/>
    <x v="53"/>
    <n v="2"/>
    <n v="430"/>
    <n v="0"/>
    <x v="3"/>
    <x v="3"/>
    <n v="860"/>
    <n v="860"/>
    <n v="0"/>
  </r>
  <r>
    <x v="595"/>
    <x v="218"/>
    <d v="2024-01-05T00:00:00"/>
    <x v="0"/>
    <x v="87"/>
    <n v="2"/>
    <n v="538"/>
    <n v="0"/>
    <x v="0"/>
    <x v="1"/>
    <n v="1076"/>
    <n v="1076"/>
    <n v="0"/>
  </r>
  <r>
    <x v="596"/>
    <x v="294"/>
    <d v="2024-01-11T00:00:00"/>
    <x v="162"/>
    <x v="9"/>
    <n v="2"/>
    <n v="1456"/>
    <n v="15"/>
    <x v="0"/>
    <x v="1"/>
    <n v="2912"/>
    <n v="-40768"/>
    <n v="43680"/>
  </r>
  <r>
    <x v="597"/>
    <x v="294"/>
    <d v="2024-01-11T00:00:00"/>
    <x v="113"/>
    <x v="43"/>
    <n v="2"/>
    <n v="291"/>
    <n v="5"/>
    <x v="1"/>
    <x v="0"/>
    <n v="582"/>
    <n v="-2328"/>
    <n v="2910"/>
  </r>
  <r>
    <x v="598"/>
    <x v="220"/>
    <d v="2024-01-11T00:00:00"/>
    <x v="31"/>
    <x v="49"/>
    <n v="2"/>
    <n v="1224"/>
    <n v="15"/>
    <x v="2"/>
    <x v="1"/>
    <n v="2448"/>
    <n v="-34272"/>
    <n v="36720"/>
  </r>
  <r>
    <x v="599"/>
    <x v="82"/>
    <d v="2024-01-09T00:00:00"/>
    <x v="79"/>
    <x v="14"/>
    <n v="2"/>
    <n v="1902"/>
    <n v="0"/>
    <x v="2"/>
    <x v="2"/>
    <n v="3804"/>
    <n v="3804"/>
    <n v="0"/>
  </r>
  <r>
    <x v="600"/>
    <x v="223"/>
    <d v="2024-01-06T00:00:00"/>
    <x v="70"/>
    <x v="48"/>
    <n v="2"/>
    <n v="1559"/>
    <n v="0"/>
    <x v="3"/>
    <x v="2"/>
    <n v="3118"/>
    <n v="3118"/>
    <n v="0"/>
  </r>
  <r>
    <x v="601"/>
    <x v="223"/>
    <d v="2024-01-08T00:00:00"/>
    <x v="14"/>
    <x v="82"/>
    <n v="2"/>
    <n v="813"/>
    <n v="15"/>
    <x v="0"/>
    <x v="1"/>
    <n v="1626"/>
    <n v="-22764"/>
    <n v="24390"/>
  </r>
  <r>
    <x v="602"/>
    <x v="223"/>
    <d v="2024-01-10T00:00:00"/>
    <x v="50"/>
    <x v="73"/>
    <n v="2"/>
    <n v="1168"/>
    <n v="0"/>
    <x v="2"/>
    <x v="2"/>
    <n v="2336"/>
    <n v="2336"/>
    <n v="0"/>
  </r>
  <r>
    <x v="603"/>
    <x v="295"/>
    <d v="2024-01-04T00:00:00"/>
    <x v="148"/>
    <x v="73"/>
    <n v="2"/>
    <n v="1402"/>
    <n v="0"/>
    <x v="2"/>
    <x v="3"/>
    <n v="2804"/>
    <n v="2804"/>
    <n v="0"/>
  </r>
  <r>
    <x v="604"/>
    <x v="296"/>
    <d v="2024-01-07T00:00:00"/>
    <x v="218"/>
    <x v="50"/>
    <n v="2"/>
    <n v="1654"/>
    <n v="0"/>
    <x v="3"/>
    <x v="1"/>
    <n v="3308"/>
    <n v="3308"/>
    <n v="0"/>
  </r>
  <r>
    <x v="605"/>
    <x v="296"/>
    <d v="2024-01-09T00:00:00"/>
    <x v="261"/>
    <x v="17"/>
    <n v="2"/>
    <n v="1079"/>
    <n v="5"/>
    <x v="1"/>
    <x v="3"/>
    <n v="2158"/>
    <n v="-8632"/>
    <n v="10790"/>
  </r>
  <r>
    <x v="606"/>
    <x v="227"/>
    <d v="2024-01-03T00:00:00"/>
    <x v="244"/>
    <x v="86"/>
    <n v="2"/>
    <n v="1042"/>
    <n v="10"/>
    <x v="3"/>
    <x v="1"/>
    <n v="2084"/>
    <n v="-18756"/>
    <n v="20840"/>
  </r>
  <r>
    <x v="607"/>
    <x v="88"/>
    <d v="2024-01-05T00:00:00"/>
    <x v="117"/>
    <x v="5"/>
    <n v="2"/>
    <n v="856"/>
    <n v="0"/>
    <x v="3"/>
    <x v="0"/>
    <n v="1712"/>
    <n v="1712"/>
    <n v="0"/>
  </r>
  <r>
    <x v="608"/>
    <x v="88"/>
    <d v="2024-01-10T00:00:00"/>
    <x v="222"/>
    <x v="88"/>
    <n v="2"/>
    <n v="1251"/>
    <n v="10"/>
    <x v="1"/>
    <x v="0"/>
    <n v="2502"/>
    <n v="-22518"/>
    <n v="25020"/>
  </r>
  <r>
    <x v="609"/>
    <x v="297"/>
    <d v="2024-01-03T00:00:00"/>
    <x v="161"/>
    <x v="80"/>
    <n v="2"/>
    <n v="1601"/>
    <n v="0"/>
    <x v="1"/>
    <x v="2"/>
    <n v="3202"/>
    <n v="3202"/>
    <n v="0"/>
  </r>
  <r>
    <x v="610"/>
    <x v="297"/>
    <d v="2024-01-05T00:00:00"/>
    <x v="262"/>
    <x v="40"/>
    <n v="2"/>
    <n v="1730"/>
    <n v="15"/>
    <x v="1"/>
    <x v="2"/>
    <n v="3460"/>
    <n v="-48440"/>
    <n v="51900"/>
  </r>
  <r>
    <x v="611"/>
    <x v="297"/>
    <d v="2024-01-11T00:00:00"/>
    <x v="230"/>
    <x v="76"/>
    <n v="2"/>
    <n v="1296"/>
    <n v="10"/>
    <x v="3"/>
    <x v="2"/>
    <n v="2592"/>
    <n v="-23328"/>
    <n v="25920"/>
  </r>
  <r>
    <x v="612"/>
    <x v="89"/>
    <d v="2024-01-09T00:00:00"/>
    <x v="40"/>
    <x v="98"/>
    <n v="2"/>
    <n v="210"/>
    <n v="10"/>
    <x v="3"/>
    <x v="2"/>
    <n v="420"/>
    <n v="-3780"/>
    <n v="4200"/>
  </r>
  <r>
    <x v="613"/>
    <x v="90"/>
    <d v="2024-01-10T00:00:00"/>
    <x v="108"/>
    <x v="50"/>
    <n v="2"/>
    <n v="336"/>
    <n v="5"/>
    <x v="0"/>
    <x v="1"/>
    <n v="672"/>
    <n v="-2688"/>
    <n v="3360"/>
  </r>
  <r>
    <x v="614"/>
    <x v="90"/>
    <d v="2024-01-11T00:00:00"/>
    <x v="228"/>
    <x v="18"/>
    <n v="2"/>
    <n v="1687"/>
    <n v="15"/>
    <x v="1"/>
    <x v="1"/>
    <n v="3374"/>
    <n v="-47236"/>
    <n v="50610"/>
  </r>
  <r>
    <x v="615"/>
    <x v="90"/>
    <d v="2024-01-08T00:00:00"/>
    <x v="41"/>
    <x v="80"/>
    <n v="2"/>
    <n v="486"/>
    <n v="5"/>
    <x v="0"/>
    <x v="3"/>
    <n v="972"/>
    <n v="-3888"/>
    <n v="4860"/>
  </r>
  <r>
    <x v="616"/>
    <x v="230"/>
    <d v="2024-01-06T00:00:00"/>
    <x v="165"/>
    <x v="14"/>
    <n v="2"/>
    <n v="340"/>
    <n v="15"/>
    <x v="2"/>
    <x v="2"/>
    <n v="680"/>
    <n v="-9520"/>
    <n v="10200"/>
  </r>
  <r>
    <x v="617"/>
    <x v="230"/>
    <d v="2024-01-09T00:00:00"/>
    <x v="230"/>
    <x v="34"/>
    <n v="2"/>
    <n v="1452"/>
    <n v="0"/>
    <x v="3"/>
    <x v="1"/>
    <n v="2904"/>
    <n v="2904"/>
    <n v="0"/>
  </r>
  <r>
    <x v="618"/>
    <x v="230"/>
    <d v="2024-01-03T00:00:00"/>
    <x v="177"/>
    <x v="55"/>
    <n v="2"/>
    <n v="1817"/>
    <n v="10"/>
    <x v="1"/>
    <x v="1"/>
    <n v="3634"/>
    <n v="-32706"/>
    <n v="36340"/>
  </r>
  <r>
    <x v="619"/>
    <x v="91"/>
    <d v="2024-01-04T00:00:00"/>
    <x v="49"/>
    <x v="63"/>
    <n v="2"/>
    <n v="308"/>
    <n v="0"/>
    <x v="2"/>
    <x v="1"/>
    <n v="616"/>
    <n v="616"/>
    <n v="0"/>
  </r>
  <r>
    <x v="620"/>
    <x v="92"/>
    <d v="2024-01-11T00:00:00"/>
    <x v="124"/>
    <x v="76"/>
    <n v="2"/>
    <n v="644"/>
    <n v="10"/>
    <x v="0"/>
    <x v="0"/>
    <n v="1288"/>
    <n v="-11592"/>
    <n v="12880"/>
  </r>
  <r>
    <x v="621"/>
    <x v="92"/>
    <d v="2024-01-06T00:00:00"/>
    <x v="72"/>
    <x v="11"/>
    <n v="2"/>
    <n v="1744"/>
    <n v="0"/>
    <x v="3"/>
    <x v="2"/>
    <n v="3488"/>
    <n v="3488"/>
    <n v="0"/>
  </r>
  <r>
    <x v="622"/>
    <x v="95"/>
    <d v="2024-01-09T00:00:00"/>
    <x v="180"/>
    <x v="19"/>
    <n v="2"/>
    <n v="203"/>
    <n v="0"/>
    <x v="3"/>
    <x v="0"/>
    <n v="406"/>
    <n v="406"/>
    <n v="0"/>
  </r>
  <r>
    <x v="623"/>
    <x v="95"/>
    <d v="2024-01-07T00:00:00"/>
    <x v="238"/>
    <x v="55"/>
    <n v="2"/>
    <n v="1776"/>
    <n v="10"/>
    <x v="3"/>
    <x v="0"/>
    <n v="3552"/>
    <n v="-31968"/>
    <n v="35520"/>
  </r>
  <r>
    <x v="624"/>
    <x v="95"/>
    <d v="2024-01-07T00:00:00"/>
    <x v="263"/>
    <x v="98"/>
    <n v="2"/>
    <n v="1590"/>
    <n v="5"/>
    <x v="2"/>
    <x v="1"/>
    <n v="3180"/>
    <n v="-12720"/>
    <n v="15900"/>
  </r>
  <r>
    <x v="625"/>
    <x v="96"/>
    <d v="2024-01-03T00:00:00"/>
    <x v="200"/>
    <x v="71"/>
    <n v="2"/>
    <n v="517"/>
    <n v="0"/>
    <x v="0"/>
    <x v="2"/>
    <n v="1034"/>
    <n v="1034"/>
    <n v="0"/>
  </r>
  <r>
    <x v="626"/>
    <x v="96"/>
    <d v="2024-01-11T00:00:00"/>
    <x v="264"/>
    <x v="36"/>
    <n v="2"/>
    <n v="465"/>
    <n v="15"/>
    <x v="1"/>
    <x v="3"/>
    <n v="930"/>
    <n v="-13020"/>
    <n v="13950"/>
  </r>
  <r>
    <x v="627"/>
    <x v="96"/>
    <d v="2024-01-11T00:00:00"/>
    <x v="139"/>
    <x v="88"/>
    <n v="2"/>
    <n v="1184"/>
    <n v="5"/>
    <x v="1"/>
    <x v="1"/>
    <n v="2368"/>
    <n v="-9472"/>
    <n v="11840"/>
  </r>
  <r>
    <x v="628"/>
    <x v="298"/>
    <d v="2024-01-04T00:00:00"/>
    <x v="23"/>
    <x v="38"/>
    <n v="2"/>
    <n v="1326"/>
    <n v="0"/>
    <x v="0"/>
    <x v="1"/>
    <n v="2652"/>
    <n v="2652"/>
    <n v="0"/>
  </r>
  <r>
    <x v="629"/>
    <x v="97"/>
    <d v="2024-01-10T00:00:00"/>
    <x v="265"/>
    <x v="5"/>
    <n v="2"/>
    <n v="1051"/>
    <n v="10"/>
    <x v="3"/>
    <x v="0"/>
    <n v="2102"/>
    <n v="-18918"/>
    <n v="21020"/>
  </r>
  <r>
    <x v="630"/>
    <x v="299"/>
    <d v="2024-01-05T00:00:00"/>
    <x v="145"/>
    <x v="53"/>
    <n v="2"/>
    <n v="1382"/>
    <n v="15"/>
    <x v="2"/>
    <x v="2"/>
    <n v="2764"/>
    <n v="-38696"/>
    <n v="41460"/>
  </r>
  <r>
    <x v="631"/>
    <x v="234"/>
    <d v="2024-01-04T00:00:00"/>
    <x v="1"/>
    <x v="79"/>
    <n v="2"/>
    <n v="394"/>
    <n v="5"/>
    <x v="1"/>
    <x v="1"/>
    <n v="788"/>
    <n v="-3152"/>
    <n v="3940"/>
  </r>
  <r>
    <x v="632"/>
    <x v="98"/>
    <d v="2024-01-05T00:00:00"/>
    <x v="266"/>
    <x v="86"/>
    <n v="2"/>
    <n v="1607"/>
    <n v="0"/>
    <x v="1"/>
    <x v="1"/>
    <n v="3214"/>
    <n v="3214"/>
    <n v="0"/>
  </r>
  <r>
    <x v="633"/>
    <x v="235"/>
    <d v="2024-01-05T00:00:00"/>
    <x v="25"/>
    <x v="52"/>
    <n v="2"/>
    <n v="923"/>
    <n v="15"/>
    <x v="3"/>
    <x v="2"/>
    <n v="1846"/>
    <n v="-25844"/>
    <n v="27690"/>
  </r>
  <r>
    <x v="634"/>
    <x v="101"/>
    <d v="2024-01-07T00:00:00"/>
    <x v="32"/>
    <x v="75"/>
    <n v="2"/>
    <n v="372"/>
    <n v="5"/>
    <x v="1"/>
    <x v="0"/>
    <n v="744"/>
    <n v="-2976"/>
    <n v="3720"/>
  </r>
  <r>
    <x v="635"/>
    <x v="237"/>
    <d v="2024-01-07T00:00:00"/>
    <x v="254"/>
    <x v="42"/>
    <n v="2"/>
    <n v="1882"/>
    <n v="0"/>
    <x v="0"/>
    <x v="0"/>
    <n v="3764"/>
    <n v="3764"/>
    <n v="0"/>
  </r>
  <r>
    <x v="636"/>
    <x v="237"/>
    <d v="2024-01-06T00:00:00"/>
    <x v="133"/>
    <x v="89"/>
    <n v="2"/>
    <n v="423"/>
    <n v="5"/>
    <x v="1"/>
    <x v="3"/>
    <n v="846"/>
    <n v="-3384"/>
    <n v="4230"/>
  </r>
  <r>
    <x v="637"/>
    <x v="300"/>
    <d v="2024-01-07T00:00:00"/>
    <x v="141"/>
    <x v="88"/>
    <n v="2"/>
    <n v="1476"/>
    <n v="15"/>
    <x v="0"/>
    <x v="1"/>
    <n v="2952"/>
    <n v="-41328"/>
    <n v="44280"/>
  </r>
  <r>
    <x v="638"/>
    <x v="103"/>
    <d v="2024-01-05T00:00:00"/>
    <x v="81"/>
    <x v="20"/>
    <n v="2"/>
    <n v="1171"/>
    <n v="5"/>
    <x v="2"/>
    <x v="2"/>
    <n v="2342"/>
    <n v="-9368"/>
    <n v="11710"/>
  </r>
  <r>
    <x v="639"/>
    <x v="104"/>
    <d v="2024-01-10T00:00:00"/>
    <x v="84"/>
    <x v="86"/>
    <n v="2"/>
    <n v="204"/>
    <n v="15"/>
    <x v="2"/>
    <x v="0"/>
    <n v="408"/>
    <n v="-5712"/>
    <n v="6120"/>
  </r>
  <r>
    <x v="640"/>
    <x v="106"/>
    <d v="2024-01-03T00:00:00"/>
    <x v="220"/>
    <x v="28"/>
    <n v="2"/>
    <n v="260"/>
    <n v="15"/>
    <x v="3"/>
    <x v="0"/>
    <n v="520"/>
    <n v="-7280"/>
    <n v="7800"/>
  </r>
  <r>
    <x v="641"/>
    <x v="108"/>
    <d v="2024-01-10T00:00:00"/>
    <x v="50"/>
    <x v="36"/>
    <n v="2"/>
    <n v="1110"/>
    <n v="0"/>
    <x v="1"/>
    <x v="0"/>
    <n v="2220"/>
    <n v="2220"/>
    <n v="0"/>
  </r>
  <r>
    <x v="642"/>
    <x v="240"/>
    <d v="2024-01-03T00:00:00"/>
    <x v="28"/>
    <x v="55"/>
    <n v="2"/>
    <n v="1327"/>
    <n v="10"/>
    <x v="3"/>
    <x v="1"/>
    <n v="2654"/>
    <n v="-23886"/>
    <n v="26540"/>
  </r>
  <r>
    <x v="643"/>
    <x v="110"/>
    <d v="2024-01-10T00:00:00"/>
    <x v="63"/>
    <x v="76"/>
    <n v="2"/>
    <n v="422"/>
    <n v="15"/>
    <x v="3"/>
    <x v="3"/>
    <n v="844"/>
    <n v="-11816"/>
    <n v="12660"/>
  </r>
  <r>
    <x v="644"/>
    <x v="112"/>
    <d v="2024-01-11T00:00:00"/>
    <x v="232"/>
    <x v="43"/>
    <n v="2"/>
    <n v="1672"/>
    <n v="0"/>
    <x v="0"/>
    <x v="3"/>
    <n v="3344"/>
    <n v="3344"/>
    <n v="0"/>
  </r>
  <r>
    <x v="645"/>
    <x v="113"/>
    <d v="2024-01-07T00:00:00"/>
    <x v="92"/>
    <x v="13"/>
    <n v="2"/>
    <n v="785"/>
    <n v="15"/>
    <x v="2"/>
    <x v="2"/>
    <n v="1570"/>
    <n v="-21980"/>
    <n v="23550"/>
  </r>
  <r>
    <x v="646"/>
    <x v="113"/>
    <d v="2024-01-10T00:00:00"/>
    <x v="243"/>
    <x v="41"/>
    <n v="2"/>
    <n v="1860"/>
    <n v="0"/>
    <x v="2"/>
    <x v="1"/>
    <n v="3720"/>
    <n v="3720"/>
    <n v="0"/>
  </r>
  <r>
    <x v="647"/>
    <x v="114"/>
    <d v="2024-01-08T00:00:00"/>
    <x v="132"/>
    <x v="75"/>
    <n v="2"/>
    <n v="1824"/>
    <n v="10"/>
    <x v="2"/>
    <x v="1"/>
    <n v="3648"/>
    <n v="-32832"/>
    <n v="36480"/>
  </r>
  <r>
    <x v="648"/>
    <x v="115"/>
    <d v="2024-01-04T00:00:00"/>
    <x v="40"/>
    <x v="87"/>
    <n v="2"/>
    <n v="921"/>
    <n v="15"/>
    <x v="1"/>
    <x v="3"/>
    <n v="1842"/>
    <n v="-25788"/>
    <n v="27630"/>
  </r>
  <r>
    <x v="649"/>
    <x v="301"/>
    <d v="2024-01-11T00:00:00"/>
    <x v="181"/>
    <x v="53"/>
    <n v="2"/>
    <n v="1749"/>
    <n v="0"/>
    <x v="0"/>
    <x v="2"/>
    <n v="3498"/>
    <n v="3498"/>
    <n v="0"/>
  </r>
  <r>
    <x v="650"/>
    <x v="119"/>
    <d v="2024-01-08T00:00:00"/>
    <x v="267"/>
    <x v="57"/>
    <n v="2"/>
    <n v="1989"/>
    <n v="10"/>
    <x v="3"/>
    <x v="2"/>
    <n v="3978"/>
    <n v="-35802"/>
    <n v="39780"/>
  </r>
  <r>
    <x v="651"/>
    <x v="120"/>
    <d v="2024-01-09T00:00:00"/>
    <x v="70"/>
    <x v="5"/>
    <n v="2"/>
    <n v="751"/>
    <n v="10"/>
    <x v="0"/>
    <x v="2"/>
    <n v="1502"/>
    <n v="-13518"/>
    <n v="15020"/>
  </r>
  <r>
    <x v="652"/>
    <x v="302"/>
    <d v="2024-01-11T00:00:00"/>
    <x v="115"/>
    <x v="91"/>
    <n v="2"/>
    <n v="828"/>
    <n v="10"/>
    <x v="0"/>
    <x v="1"/>
    <n v="1656"/>
    <n v="-14904"/>
    <n v="16560"/>
  </r>
  <r>
    <x v="653"/>
    <x v="302"/>
    <d v="2024-01-04T00:00:00"/>
    <x v="50"/>
    <x v="26"/>
    <n v="2"/>
    <n v="1477"/>
    <n v="15"/>
    <x v="2"/>
    <x v="3"/>
    <n v="2954"/>
    <n v="-41356"/>
    <n v="44310"/>
  </r>
  <r>
    <x v="654"/>
    <x v="242"/>
    <d v="2024-01-03T00:00:00"/>
    <x v="200"/>
    <x v="54"/>
    <n v="2"/>
    <n v="484"/>
    <n v="10"/>
    <x v="2"/>
    <x v="3"/>
    <n v="968"/>
    <n v="-8712"/>
    <n v="9680"/>
  </r>
  <r>
    <x v="655"/>
    <x v="303"/>
    <d v="2024-01-07T00:00:00"/>
    <x v="209"/>
    <x v="15"/>
    <n v="2"/>
    <n v="754"/>
    <n v="15"/>
    <x v="3"/>
    <x v="1"/>
    <n v="1508"/>
    <n v="-21112"/>
    <n v="22620"/>
  </r>
  <r>
    <x v="656"/>
    <x v="304"/>
    <d v="2024-01-05T00:00:00"/>
    <x v="11"/>
    <x v="34"/>
    <n v="2"/>
    <n v="805"/>
    <n v="15"/>
    <x v="1"/>
    <x v="1"/>
    <n v="1610"/>
    <n v="-22540"/>
    <n v="24150"/>
  </r>
  <r>
    <x v="657"/>
    <x v="305"/>
    <d v="2024-01-07T00:00:00"/>
    <x v="268"/>
    <x v="48"/>
    <n v="2"/>
    <n v="1574"/>
    <n v="10"/>
    <x v="0"/>
    <x v="1"/>
    <n v="3148"/>
    <n v="-28332"/>
    <n v="31480"/>
  </r>
  <r>
    <x v="658"/>
    <x v="305"/>
    <d v="2024-01-04T00:00:00"/>
    <x v="207"/>
    <x v="3"/>
    <n v="2"/>
    <n v="1739"/>
    <n v="10"/>
    <x v="3"/>
    <x v="1"/>
    <n v="3478"/>
    <n v="-31302"/>
    <n v="34780"/>
  </r>
  <r>
    <x v="659"/>
    <x v="243"/>
    <d v="2024-01-09T00:00:00"/>
    <x v="19"/>
    <x v="58"/>
    <n v="2"/>
    <n v="1304"/>
    <n v="10"/>
    <x v="0"/>
    <x v="1"/>
    <n v="2608"/>
    <n v="-23472"/>
    <n v="26080"/>
  </r>
  <r>
    <x v="660"/>
    <x v="122"/>
    <d v="2024-01-09T00:00:00"/>
    <x v="165"/>
    <x v="99"/>
    <n v="2"/>
    <n v="1323"/>
    <n v="5"/>
    <x v="2"/>
    <x v="3"/>
    <n v="2646"/>
    <n v="-10584"/>
    <n v="13230"/>
  </r>
  <r>
    <x v="661"/>
    <x v="122"/>
    <d v="2024-01-07T00:00:00"/>
    <x v="171"/>
    <x v="54"/>
    <n v="2"/>
    <n v="1083"/>
    <n v="10"/>
    <x v="3"/>
    <x v="2"/>
    <n v="2166"/>
    <n v="-19494"/>
    <n v="21660"/>
  </r>
  <r>
    <x v="662"/>
    <x v="123"/>
    <d v="2024-01-08T00:00:00"/>
    <x v="255"/>
    <x v="12"/>
    <n v="2"/>
    <n v="901"/>
    <n v="15"/>
    <x v="2"/>
    <x v="2"/>
    <n v="1802"/>
    <n v="-25228"/>
    <n v="27030"/>
  </r>
  <r>
    <x v="663"/>
    <x v="123"/>
    <d v="2024-01-11T00:00:00"/>
    <x v="133"/>
    <x v="41"/>
    <n v="2"/>
    <n v="1810"/>
    <n v="5"/>
    <x v="2"/>
    <x v="2"/>
    <n v="3620"/>
    <n v="-14480"/>
    <n v="18100"/>
  </r>
  <r>
    <x v="664"/>
    <x v="123"/>
    <d v="2024-01-04T00:00:00"/>
    <x v="12"/>
    <x v="55"/>
    <n v="2"/>
    <n v="991"/>
    <n v="10"/>
    <x v="3"/>
    <x v="0"/>
    <n v="1982"/>
    <n v="-17838"/>
    <n v="19820"/>
  </r>
  <r>
    <x v="665"/>
    <x v="245"/>
    <d v="2024-01-05T00:00:00"/>
    <x v="184"/>
    <x v="81"/>
    <n v="2"/>
    <n v="1330"/>
    <n v="5"/>
    <x v="2"/>
    <x v="3"/>
    <n v="2660"/>
    <n v="-10640"/>
    <n v="13300"/>
  </r>
  <r>
    <x v="666"/>
    <x v="245"/>
    <d v="2024-01-09T00:00:00"/>
    <x v="169"/>
    <x v="76"/>
    <n v="2"/>
    <n v="1704"/>
    <n v="0"/>
    <x v="3"/>
    <x v="3"/>
    <n v="3408"/>
    <n v="3408"/>
    <n v="0"/>
  </r>
  <r>
    <x v="667"/>
    <x v="306"/>
    <d v="2024-01-03T00:00:00"/>
    <x v="27"/>
    <x v="47"/>
    <n v="2"/>
    <n v="1264"/>
    <n v="15"/>
    <x v="0"/>
    <x v="1"/>
    <n v="2528"/>
    <n v="-35392"/>
    <n v="37920"/>
  </r>
  <r>
    <x v="668"/>
    <x v="306"/>
    <d v="2024-01-04T00:00:00"/>
    <x v="185"/>
    <x v="65"/>
    <n v="2"/>
    <n v="779"/>
    <n v="5"/>
    <x v="1"/>
    <x v="2"/>
    <n v="1558"/>
    <n v="-6232"/>
    <n v="7790"/>
  </r>
  <r>
    <x v="669"/>
    <x v="246"/>
    <d v="2024-01-07T00:00:00"/>
    <x v="121"/>
    <x v="63"/>
    <n v="2"/>
    <n v="605"/>
    <n v="0"/>
    <x v="1"/>
    <x v="3"/>
    <n v="1210"/>
    <n v="1210"/>
    <n v="0"/>
  </r>
  <r>
    <x v="670"/>
    <x v="124"/>
    <d v="2024-01-09T00:00:00"/>
    <x v="119"/>
    <x v="83"/>
    <n v="2"/>
    <n v="1738"/>
    <n v="0"/>
    <x v="1"/>
    <x v="1"/>
    <n v="3476"/>
    <n v="3476"/>
    <n v="0"/>
  </r>
  <r>
    <x v="671"/>
    <x v="307"/>
    <d v="2024-01-09T00:00:00"/>
    <x v="178"/>
    <x v="18"/>
    <n v="2"/>
    <n v="1635"/>
    <n v="10"/>
    <x v="0"/>
    <x v="3"/>
    <n v="3270"/>
    <n v="-29430"/>
    <n v="32700"/>
  </r>
  <r>
    <x v="672"/>
    <x v="247"/>
    <d v="2024-01-08T00:00:00"/>
    <x v="64"/>
    <x v="74"/>
    <n v="2"/>
    <n v="682"/>
    <n v="5"/>
    <x v="0"/>
    <x v="1"/>
    <n v="1364"/>
    <n v="-5456"/>
    <n v="6820"/>
  </r>
  <r>
    <x v="673"/>
    <x v="308"/>
    <d v="2024-01-11T00:00:00"/>
    <x v="256"/>
    <x v="65"/>
    <n v="2"/>
    <n v="1397"/>
    <n v="5"/>
    <x v="3"/>
    <x v="1"/>
    <n v="2794"/>
    <n v="-11176"/>
    <n v="13970"/>
  </r>
  <r>
    <x v="674"/>
    <x v="248"/>
    <d v="2024-01-10T00:00:00"/>
    <x v="113"/>
    <x v="77"/>
    <n v="2"/>
    <n v="246"/>
    <n v="0"/>
    <x v="3"/>
    <x v="3"/>
    <n v="492"/>
    <n v="492"/>
    <n v="0"/>
  </r>
  <r>
    <x v="675"/>
    <x v="125"/>
    <d v="2024-01-11T00:00:00"/>
    <x v="125"/>
    <x v="88"/>
    <n v="2"/>
    <n v="1968"/>
    <n v="5"/>
    <x v="1"/>
    <x v="2"/>
    <n v="3936"/>
    <n v="-15744"/>
    <n v="19680"/>
  </r>
  <r>
    <x v="676"/>
    <x v="125"/>
    <d v="2024-01-08T00:00:00"/>
    <x v="121"/>
    <x v="94"/>
    <n v="2"/>
    <n v="438"/>
    <n v="5"/>
    <x v="1"/>
    <x v="0"/>
    <n v="876"/>
    <n v="-3504"/>
    <n v="4380"/>
  </r>
  <r>
    <x v="677"/>
    <x v="126"/>
    <d v="2024-01-09T00:00:00"/>
    <x v="170"/>
    <x v="64"/>
    <n v="2"/>
    <n v="742"/>
    <n v="15"/>
    <x v="0"/>
    <x v="2"/>
    <n v="1484"/>
    <n v="-20776"/>
    <n v="22260"/>
  </r>
  <r>
    <x v="678"/>
    <x v="127"/>
    <d v="2024-01-05T00:00:00"/>
    <x v="100"/>
    <x v="13"/>
    <n v="2"/>
    <n v="1037"/>
    <n v="10"/>
    <x v="1"/>
    <x v="2"/>
    <n v="2074"/>
    <n v="-18666"/>
    <n v="20740"/>
  </r>
  <r>
    <x v="679"/>
    <x v="249"/>
    <d v="2024-01-11T00:00:00"/>
    <x v="218"/>
    <x v="20"/>
    <n v="2"/>
    <n v="1604"/>
    <n v="15"/>
    <x v="2"/>
    <x v="3"/>
    <n v="3208"/>
    <n v="-44912"/>
    <n v="48120"/>
  </r>
  <r>
    <x v="680"/>
    <x v="249"/>
    <d v="2024-01-08T00:00:00"/>
    <x v="2"/>
    <x v="56"/>
    <n v="2"/>
    <n v="1280"/>
    <n v="0"/>
    <x v="0"/>
    <x v="0"/>
    <n v="2560"/>
    <n v="2560"/>
    <n v="0"/>
  </r>
  <r>
    <x v="681"/>
    <x v="129"/>
    <d v="2024-01-10T00:00:00"/>
    <x v="269"/>
    <x v="0"/>
    <n v="2"/>
    <n v="1253"/>
    <n v="5"/>
    <x v="3"/>
    <x v="0"/>
    <n v="2506"/>
    <n v="-10024"/>
    <n v="12530"/>
  </r>
  <r>
    <x v="682"/>
    <x v="129"/>
    <d v="2024-01-07T00:00:00"/>
    <x v="198"/>
    <x v="37"/>
    <n v="2"/>
    <n v="1485"/>
    <n v="10"/>
    <x v="0"/>
    <x v="3"/>
    <n v="2970"/>
    <n v="-26730"/>
    <n v="29700"/>
  </r>
  <r>
    <x v="683"/>
    <x v="130"/>
    <d v="2024-01-03T00:00:00"/>
    <x v="4"/>
    <x v="97"/>
    <n v="2"/>
    <n v="1556"/>
    <n v="10"/>
    <x v="2"/>
    <x v="2"/>
    <n v="3112"/>
    <n v="-28008"/>
    <n v="31120"/>
  </r>
  <r>
    <x v="684"/>
    <x v="251"/>
    <d v="2024-01-09T00:00:00"/>
    <x v="134"/>
    <x v="50"/>
    <n v="2"/>
    <n v="708"/>
    <n v="5"/>
    <x v="2"/>
    <x v="0"/>
    <n v="1416"/>
    <n v="-5664"/>
    <n v="7080"/>
  </r>
  <r>
    <x v="685"/>
    <x v="135"/>
    <d v="2024-01-05T00:00:00"/>
    <x v="250"/>
    <x v="62"/>
    <n v="2"/>
    <n v="539"/>
    <n v="5"/>
    <x v="0"/>
    <x v="3"/>
    <n v="1078"/>
    <n v="-4312"/>
    <n v="5390"/>
  </r>
  <r>
    <x v="686"/>
    <x v="135"/>
    <d v="2024-01-05T00:00:00"/>
    <x v="105"/>
    <x v="22"/>
    <n v="2"/>
    <n v="1333"/>
    <n v="10"/>
    <x v="3"/>
    <x v="2"/>
    <n v="2666"/>
    <n v="-23994"/>
    <n v="26660"/>
  </r>
  <r>
    <x v="687"/>
    <x v="135"/>
    <d v="2024-01-06T00:00:00"/>
    <x v="174"/>
    <x v="22"/>
    <n v="2"/>
    <n v="1182"/>
    <n v="15"/>
    <x v="3"/>
    <x v="0"/>
    <n v="2364"/>
    <n v="-33096"/>
    <n v="35460"/>
  </r>
  <r>
    <x v="688"/>
    <x v="135"/>
    <d v="2024-01-11T00:00:00"/>
    <x v="72"/>
    <x v="76"/>
    <n v="2"/>
    <n v="1241"/>
    <n v="0"/>
    <x v="3"/>
    <x v="1"/>
    <n v="2482"/>
    <n v="2482"/>
    <n v="0"/>
  </r>
  <r>
    <x v="689"/>
    <x v="252"/>
    <d v="2024-01-09T00:00:00"/>
    <x v="270"/>
    <x v="7"/>
    <n v="2"/>
    <n v="1072"/>
    <n v="10"/>
    <x v="0"/>
    <x v="2"/>
    <n v="2144"/>
    <n v="-19296"/>
    <n v="21440"/>
  </r>
  <r>
    <x v="690"/>
    <x v="136"/>
    <d v="2024-01-04T00:00:00"/>
    <x v="20"/>
    <x v="1"/>
    <n v="2"/>
    <n v="688"/>
    <n v="0"/>
    <x v="2"/>
    <x v="0"/>
    <n v="1376"/>
    <n v="1376"/>
    <n v="0"/>
  </r>
  <r>
    <x v="691"/>
    <x v="137"/>
    <d v="2024-01-11T00:00:00"/>
    <x v="250"/>
    <x v="38"/>
    <n v="2"/>
    <n v="403"/>
    <n v="10"/>
    <x v="2"/>
    <x v="0"/>
    <n v="806"/>
    <n v="-7254"/>
    <n v="8060"/>
  </r>
  <r>
    <x v="692"/>
    <x v="309"/>
    <d v="2024-01-03T00:00:00"/>
    <x v="83"/>
    <x v="52"/>
    <n v="2"/>
    <n v="905"/>
    <n v="15"/>
    <x v="0"/>
    <x v="0"/>
    <n v="1810"/>
    <n v="-25340"/>
    <n v="27150"/>
  </r>
  <r>
    <x v="693"/>
    <x v="254"/>
    <d v="2024-01-04T00:00:00"/>
    <x v="194"/>
    <x v="43"/>
    <n v="2"/>
    <n v="681"/>
    <n v="10"/>
    <x v="0"/>
    <x v="3"/>
    <n v="1362"/>
    <n v="-12258"/>
    <n v="13620"/>
  </r>
  <r>
    <x v="694"/>
    <x v="254"/>
    <d v="2024-01-07T00:00:00"/>
    <x v="271"/>
    <x v="33"/>
    <n v="2"/>
    <n v="1113"/>
    <n v="5"/>
    <x v="0"/>
    <x v="2"/>
    <n v="2226"/>
    <n v="-8904"/>
    <n v="11130"/>
  </r>
  <r>
    <x v="695"/>
    <x v="139"/>
    <d v="2024-01-04T00:00:00"/>
    <x v="21"/>
    <x v="87"/>
    <n v="2"/>
    <n v="1952"/>
    <n v="10"/>
    <x v="2"/>
    <x v="3"/>
    <n v="3904"/>
    <n v="-35136"/>
    <n v="39040"/>
  </r>
  <r>
    <x v="696"/>
    <x v="140"/>
    <d v="2024-01-10T00:00:00"/>
    <x v="163"/>
    <x v="97"/>
    <n v="2"/>
    <n v="841"/>
    <n v="5"/>
    <x v="0"/>
    <x v="0"/>
    <n v="1682"/>
    <n v="-6728"/>
    <n v="8410"/>
  </r>
  <r>
    <x v="697"/>
    <x v="141"/>
    <d v="2024-01-06T00:00:00"/>
    <x v="204"/>
    <x v="23"/>
    <n v="2"/>
    <n v="1619"/>
    <n v="5"/>
    <x v="2"/>
    <x v="1"/>
    <n v="3238"/>
    <n v="-12952"/>
    <n v="16190"/>
  </r>
  <r>
    <x v="698"/>
    <x v="255"/>
    <d v="2024-01-04T00:00:00"/>
    <x v="272"/>
    <x v="50"/>
    <n v="2"/>
    <n v="292"/>
    <n v="15"/>
    <x v="2"/>
    <x v="1"/>
    <n v="584"/>
    <n v="-8176"/>
    <n v="8760"/>
  </r>
  <r>
    <x v="699"/>
    <x v="143"/>
    <d v="2024-01-10T00:00:00"/>
    <x v="16"/>
    <x v="47"/>
    <n v="2"/>
    <n v="276"/>
    <n v="15"/>
    <x v="0"/>
    <x v="0"/>
    <n v="552"/>
    <n v="-7728"/>
    <n v="8280"/>
  </r>
  <r>
    <x v="700"/>
    <x v="310"/>
    <d v="2024-01-11T00:00:00"/>
    <x v="67"/>
    <x v="28"/>
    <n v="2"/>
    <n v="1378"/>
    <n v="10"/>
    <x v="3"/>
    <x v="3"/>
    <n v="2756"/>
    <n v="-24804"/>
    <n v="27560"/>
  </r>
  <r>
    <x v="701"/>
    <x v="311"/>
    <d v="2024-01-08T00:00:00"/>
    <x v="263"/>
    <x v="64"/>
    <n v="2"/>
    <n v="1910"/>
    <n v="15"/>
    <x v="1"/>
    <x v="3"/>
    <n v="3820"/>
    <n v="-53480"/>
    <n v="57300"/>
  </r>
  <r>
    <x v="702"/>
    <x v="258"/>
    <d v="2024-01-03T00:00:00"/>
    <x v="81"/>
    <x v="33"/>
    <n v="2"/>
    <n v="1210"/>
    <n v="0"/>
    <x v="1"/>
    <x v="1"/>
    <n v="2420"/>
    <n v="2420"/>
    <n v="0"/>
  </r>
  <r>
    <x v="703"/>
    <x v="258"/>
    <d v="2024-01-04T00:00:00"/>
    <x v="268"/>
    <x v="72"/>
    <n v="2"/>
    <n v="223"/>
    <n v="5"/>
    <x v="0"/>
    <x v="1"/>
    <n v="446"/>
    <n v="-1784"/>
    <n v="2230"/>
  </r>
  <r>
    <x v="704"/>
    <x v="259"/>
    <d v="2024-01-09T00:00:00"/>
    <x v="134"/>
    <x v="0"/>
    <n v="2"/>
    <n v="828"/>
    <n v="0"/>
    <x v="3"/>
    <x v="0"/>
    <n v="1656"/>
    <n v="1656"/>
    <n v="0"/>
  </r>
  <r>
    <x v="705"/>
    <x v="312"/>
    <d v="2024-01-06T00:00:00"/>
    <x v="3"/>
    <x v="94"/>
    <n v="2"/>
    <n v="1995"/>
    <n v="15"/>
    <x v="0"/>
    <x v="0"/>
    <n v="3990"/>
    <n v="-55860"/>
    <n v="59850"/>
  </r>
  <r>
    <x v="706"/>
    <x v="312"/>
    <d v="2024-01-03T00:00:00"/>
    <x v="205"/>
    <x v="52"/>
    <n v="2"/>
    <n v="1492"/>
    <n v="5"/>
    <x v="2"/>
    <x v="3"/>
    <n v="2984"/>
    <n v="-11936"/>
    <n v="14920"/>
  </r>
  <r>
    <x v="707"/>
    <x v="149"/>
    <d v="2024-01-04T00:00:00"/>
    <x v="66"/>
    <x v="24"/>
    <n v="2"/>
    <n v="854"/>
    <n v="10"/>
    <x v="2"/>
    <x v="2"/>
    <n v="1708"/>
    <n v="-15372"/>
    <n v="17080"/>
  </r>
  <r>
    <x v="708"/>
    <x v="150"/>
    <d v="2024-01-05T00:00:00"/>
    <x v="44"/>
    <x v="38"/>
    <n v="2"/>
    <n v="1090"/>
    <n v="10"/>
    <x v="0"/>
    <x v="1"/>
    <n v="2180"/>
    <n v="-19620"/>
    <n v="21800"/>
  </r>
  <r>
    <x v="709"/>
    <x v="152"/>
    <d v="2024-01-09T00:00:00"/>
    <x v="273"/>
    <x v="72"/>
    <n v="2"/>
    <n v="766"/>
    <n v="10"/>
    <x v="0"/>
    <x v="2"/>
    <n v="1532"/>
    <n v="-13788"/>
    <n v="15320"/>
  </r>
  <r>
    <x v="710"/>
    <x v="263"/>
    <d v="2024-01-11T00:00:00"/>
    <x v="274"/>
    <x v="53"/>
    <n v="2"/>
    <n v="814"/>
    <n v="15"/>
    <x v="1"/>
    <x v="1"/>
    <n v="1628"/>
    <n v="-22792"/>
    <n v="24420"/>
  </r>
  <r>
    <x v="711"/>
    <x v="153"/>
    <d v="2024-01-10T00:00:00"/>
    <x v="96"/>
    <x v="59"/>
    <n v="2"/>
    <n v="1549"/>
    <n v="10"/>
    <x v="1"/>
    <x v="2"/>
    <n v="3098"/>
    <n v="-27882"/>
    <n v="30980"/>
  </r>
  <r>
    <x v="712"/>
    <x v="313"/>
    <d v="2024-01-08T00:00:00"/>
    <x v="39"/>
    <x v="75"/>
    <n v="2"/>
    <n v="1060"/>
    <n v="5"/>
    <x v="1"/>
    <x v="3"/>
    <n v="2120"/>
    <n v="-8480"/>
    <n v="10600"/>
  </r>
  <r>
    <x v="713"/>
    <x v="313"/>
    <d v="2024-01-11T00:00:00"/>
    <x v="204"/>
    <x v="68"/>
    <n v="2"/>
    <n v="1493"/>
    <n v="5"/>
    <x v="2"/>
    <x v="3"/>
    <n v="2986"/>
    <n v="-11944"/>
    <n v="14930"/>
  </r>
  <r>
    <x v="714"/>
    <x v="155"/>
    <d v="2024-01-03T00:00:00"/>
    <x v="259"/>
    <x v="69"/>
    <n v="2"/>
    <n v="357"/>
    <n v="15"/>
    <x v="1"/>
    <x v="1"/>
    <n v="714"/>
    <n v="-9996"/>
    <n v="10710"/>
  </r>
  <r>
    <x v="715"/>
    <x v="314"/>
    <d v="2024-01-08T00:00:00"/>
    <x v="207"/>
    <x v="40"/>
    <n v="2"/>
    <n v="425"/>
    <n v="10"/>
    <x v="1"/>
    <x v="0"/>
    <n v="850"/>
    <n v="-7650"/>
    <n v="8500"/>
  </r>
  <r>
    <x v="716"/>
    <x v="264"/>
    <d v="2024-01-04T00:00:00"/>
    <x v="12"/>
    <x v="4"/>
    <n v="2"/>
    <n v="1486"/>
    <n v="5"/>
    <x v="0"/>
    <x v="0"/>
    <n v="2972"/>
    <n v="-11888"/>
    <n v="14860"/>
  </r>
  <r>
    <x v="717"/>
    <x v="157"/>
    <d v="2024-01-07T00:00:00"/>
    <x v="201"/>
    <x v="20"/>
    <n v="2"/>
    <n v="425"/>
    <n v="10"/>
    <x v="2"/>
    <x v="1"/>
    <n v="850"/>
    <n v="-7650"/>
    <n v="8500"/>
  </r>
  <r>
    <x v="718"/>
    <x v="157"/>
    <d v="2024-01-04T00:00:00"/>
    <x v="246"/>
    <x v="3"/>
    <n v="2"/>
    <n v="354"/>
    <n v="10"/>
    <x v="1"/>
    <x v="0"/>
    <n v="708"/>
    <n v="-6372"/>
    <n v="7080"/>
  </r>
  <r>
    <x v="719"/>
    <x v="158"/>
    <d v="2024-01-04T00:00:00"/>
    <x v="16"/>
    <x v="21"/>
    <n v="2"/>
    <n v="1732"/>
    <n v="15"/>
    <x v="1"/>
    <x v="0"/>
    <n v="3464"/>
    <n v="-48496"/>
    <n v="51960"/>
  </r>
  <r>
    <x v="720"/>
    <x v="162"/>
    <d v="2024-01-03T00:00:00"/>
    <x v="25"/>
    <x v="79"/>
    <n v="2"/>
    <n v="413"/>
    <n v="10"/>
    <x v="0"/>
    <x v="3"/>
    <n v="826"/>
    <n v="-7434"/>
    <n v="8260"/>
  </r>
  <r>
    <x v="721"/>
    <x v="163"/>
    <d v="2024-01-03T00:00:00"/>
    <x v="186"/>
    <x v="98"/>
    <n v="2"/>
    <n v="1783"/>
    <n v="5"/>
    <x v="0"/>
    <x v="2"/>
    <n v="3566"/>
    <n v="-14264"/>
    <n v="17830"/>
  </r>
  <r>
    <x v="722"/>
    <x v="267"/>
    <d v="2024-01-09T00:00:00"/>
    <x v="34"/>
    <x v="87"/>
    <n v="2"/>
    <n v="397"/>
    <n v="10"/>
    <x v="3"/>
    <x v="1"/>
    <n v="794"/>
    <n v="-7146"/>
    <n v="7940"/>
  </r>
  <r>
    <x v="723"/>
    <x v="267"/>
    <d v="2024-01-07T00:00:00"/>
    <x v="141"/>
    <x v="54"/>
    <n v="2"/>
    <n v="330"/>
    <n v="0"/>
    <x v="0"/>
    <x v="2"/>
    <n v="660"/>
    <n v="660"/>
    <n v="0"/>
  </r>
  <r>
    <x v="724"/>
    <x v="165"/>
    <d v="2024-01-10T00:00:00"/>
    <x v="152"/>
    <x v="32"/>
    <n v="2"/>
    <n v="1038"/>
    <n v="10"/>
    <x v="1"/>
    <x v="0"/>
    <n v="2076"/>
    <n v="-18684"/>
    <n v="20760"/>
  </r>
  <r>
    <x v="725"/>
    <x v="167"/>
    <d v="2024-01-06T00:00:00"/>
    <x v="88"/>
    <x v="86"/>
    <n v="2"/>
    <n v="1681"/>
    <n v="0"/>
    <x v="2"/>
    <x v="3"/>
    <n v="3362"/>
    <n v="3362"/>
    <n v="0"/>
  </r>
  <r>
    <x v="726"/>
    <x v="168"/>
    <d v="2024-01-06T00:00:00"/>
    <x v="11"/>
    <x v="74"/>
    <n v="2"/>
    <n v="304"/>
    <n v="15"/>
    <x v="1"/>
    <x v="3"/>
    <n v="608"/>
    <n v="-8512"/>
    <n v="9120"/>
  </r>
  <r>
    <x v="727"/>
    <x v="268"/>
    <d v="2024-01-09T00:00:00"/>
    <x v="142"/>
    <x v="90"/>
    <n v="2"/>
    <n v="262"/>
    <n v="15"/>
    <x v="2"/>
    <x v="3"/>
    <n v="524"/>
    <n v="-7336"/>
    <n v="7860"/>
  </r>
  <r>
    <x v="728"/>
    <x v="269"/>
    <d v="2024-01-11T00:00:00"/>
    <x v="259"/>
    <x v="82"/>
    <n v="2"/>
    <n v="1472"/>
    <n v="5"/>
    <x v="1"/>
    <x v="1"/>
    <n v="2944"/>
    <n v="-11776"/>
    <n v="14720"/>
  </r>
  <r>
    <x v="729"/>
    <x v="269"/>
    <d v="2024-01-07T00:00:00"/>
    <x v="96"/>
    <x v="81"/>
    <n v="2"/>
    <n v="675"/>
    <n v="15"/>
    <x v="0"/>
    <x v="0"/>
    <n v="1350"/>
    <n v="-18900"/>
    <n v="20250"/>
  </r>
  <r>
    <x v="730"/>
    <x v="269"/>
    <d v="2024-01-08T00:00:00"/>
    <x v="99"/>
    <x v="38"/>
    <n v="2"/>
    <n v="1284"/>
    <n v="5"/>
    <x v="0"/>
    <x v="2"/>
    <n v="2568"/>
    <n v="-10272"/>
    <n v="12840"/>
  </r>
  <r>
    <x v="731"/>
    <x v="269"/>
    <d v="2024-01-05T00:00:00"/>
    <x v="275"/>
    <x v="74"/>
    <n v="2"/>
    <n v="347"/>
    <n v="0"/>
    <x v="0"/>
    <x v="3"/>
    <n v="694"/>
    <n v="694"/>
    <n v="0"/>
  </r>
  <r>
    <x v="732"/>
    <x v="171"/>
    <d v="2024-01-03T00:00:00"/>
    <x v="154"/>
    <x v="41"/>
    <n v="2"/>
    <n v="341"/>
    <n v="5"/>
    <x v="3"/>
    <x v="1"/>
    <n v="682"/>
    <n v="-2728"/>
    <n v="3410"/>
  </r>
  <r>
    <x v="733"/>
    <x v="171"/>
    <d v="2024-01-06T00:00:00"/>
    <x v="276"/>
    <x v="56"/>
    <n v="2"/>
    <n v="1925"/>
    <n v="5"/>
    <x v="3"/>
    <x v="2"/>
    <n v="3850"/>
    <n v="-15400"/>
    <n v="19250"/>
  </r>
  <r>
    <x v="734"/>
    <x v="315"/>
    <d v="2024-01-03T00:00:00"/>
    <x v="277"/>
    <x v="66"/>
    <n v="2"/>
    <n v="1866"/>
    <n v="15"/>
    <x v="1"/>
    <x v="2"/>
    <n v="3732"/>
    <n v="-52248"/>
    <n v="55980"/>
  </r>
  <r>
    <x v="735"/>
    <x v="315"/>
    <d v="2024-01-07T00:00:00"/>
    <x v="182"/>
    <x v="73"/>
    <n v="2"/>
    <n v="1140"/>
    <n v="0"/>
    <x v="2"/>
    <x v="0"/>
    <n v="2280"/>
    <n v="2280"/>
    <n v="0"/>
  </r>
  <r>
    <x v="736"/>
    <x v="316"/>
    <d v="2024-01-04T00:00:00"/>
    <x v="278"/>
    <x v="87"/>
    <n v="2"/>
    <n v="901"/>
    <n v="5"/>
    <x v="2"/>
    <x v="2"/>
    <n v="1802"/>
    <n v="-7208"/>
    <n v="9010"/>
  </r>
  <r>
    <x v="737"/>
    <x v="173"/>
    <d v="2024-01-05T00:00:00"/>
    <x v="174"/>
    <x v="85"/>
    <n v="2"/>
    <n v="1706"/>
    <n v="5"/>
    <x v="1"/>
    <x v="2"/>
    <n v="3412"/>
    <n v="-13648"/>
    <n v="17060"/>
  </r>
  <r>
    <x v="738"/>
    <x v="271"/>
    <d v="2024-01-03T00:00:00"/>
    <x v="186"/>
    <x v="79"/>
    <n v="2"/>
    <n v="1296"/>
    <n v="15"/>
    <x v="3"/>
    <x v="2"/>
    <n v="2592"/>
    <n v="-36288"/>
    <n v="38880"/>
  </r>
  <r>
    <x v="739"/>
    <x v="317"/>
    <d v="2024-01-09T00:00:00"/>
    <x v="260"/>
    <x v="97"/>
    <n v="1"/>
    <n v="457"/>
    <n v="15"/>
    <x v="0"/>
    <x v="1"/>
    <n v="457"/>
    <n v="-6398"/>
    <n v="6855"/>
  </r>
  <r>
    <x v="740"/>
    <x v="317"/>
    <d v="2024-01-06T00:00:00"/>
    <x v="279"/>
    <x v="42"/>
    <n v="1"/>
    <n v="1043"/>
    <n v="5"/>
    <x v="0"/>
    <x v="1"/>
    <n v="1043"/>
    <n v="-4172"/>
    <n v="5215"/>
  </r>
  <r>
    <x v="741"/>
    <x v="1"/>
    <d v="2024-01-04T00:00:00"/>
    <x v="241"/>
    <x v="98"/>
    <n v="1"/>
    <n v="221"/>
    <n v="15"/>
    <x v="2"/>
    <x v="0"/>
    <n v="221"/>
    <n v="-3094"/>
    <n v="3315"/>
  </r>
  <r>
    <x v="742"/>
    <x v="2"/>
    <d v="2024-01-06T00:00:00"/>
    <x v="239"/>
    <x v="24"/>
    <n v="1"/>
    <n v="496"/>
    <n v="10"/>
    <x v="2"/>
    <x v="3"/>
    <n v="496"/>
    <n v="-4464"/>
    <n v="4960"/>
  </r>
  <r>
    <x v="743"/>
    <x v="4"/>
    <d v="2024-01-03T00:00:00"/>
    <x v="254"/>
    <x v="15"/>
    <n v="1"/>
    <n v="1155"/>
    <n v="5"/>
    <x v="3"/>
    <x v="1"/>
    <n v="1155"/>
    <n v="-4620"/>
    <n v="5775"/>
  </r>
  <r>
    <x v="744"/>
    <x v="177"/>
    <d v="2024-01-08T00:00:00"/>
    <x v="280"/>
    <x v="64"/>
    <n v="1"/>
    <n v="631"/>
    <n v="0"/>
    <x v="2"/>
    <x v="3"/>
    <n v="631"/>
    <n v="631"/>
    <n v="0"/>
  </r>
  <r>
    <x v="745"/>
    <x v="177"/>
    <d v="2024-01-11T00:00:00"/>
    <x v="281"/>
    <x v="14"/>
    <n v="1"/>
    <n v="318"/>
    <n v="0"/>
    <x v="0"/>
    <x v="3"/>
    <n v="318"/>
    <n v="318"/>
    <n v="0"/>
  </r>
  <r>
    <x v="746"/>
    <x v="177"/>
    <d v="2024-01-11T00:00:00"/>
    <x v="212"/>
    <x v="44"/>
    <n v="1"/>
    <n v="1471"/>
    <n v="10"/>
    <x v="2"/>
    <x v="3"/>
    <n v="1471"/>
    <n v="-13239"/>
    <n v="14710"/>
  </r>
  <r>
    <x v="747"/>
    <x v="5"/>
    <d v="2024-01-10T00:00:00"/>
    <x v="128"/>
    <x v="39"/>
    <n v="1"/>
    <n v="305"/>
    <n v="10"/>
    <x v="1"/>
    <x v="0"/>
    <n v="305"/>
    <n v="-2745"/>
    <n v="3050"/>
  </r>
  <r>
    <x v="748"/>
    <x v="318"/>
    <d v="2024-01-09T00:00:00"/>
    <x v="76"/>
    <x v="49"/>
    <n v="1"/>
    <n v="1366"/>
    <n v="5"/>
    <x v="1"/>
    <x v="3"/>
    <n v="1366"/>
    <n v="-5464"/>
    <n v="6830"/>
  </r>
  <r>
    <x v="749"/>
    <x v="178"/>
    <d v="2024-01-07T00:00:00"/>
    <x v="126"/>
    <x v="78"/>
    <n v="1"/>
    <n v="687"/>
    <n v="0"/>
    <x v="1"/>
    <x v="2"/>
    <n v="687"/>
    <n v="687"/>
    <n v="0"/>
  </r>
  <r>
    <x v="750"/>
    <x v="178"/>
    <d v="2024-01-04T00:00:00"/>
    <x v="110"/>
    <x v="95"/>
    <n v="1"/>
    <n v="1399"/>
    <n v="15"/>
    <x v="0"/>
    <x v="3"/>
    <n v="1399"/>
    <n v="-19586"/>
    <n v="20985"/>
  </r>
  <r>
    <x v="751"/>
    <x v="7"/>
    <d v="2024-01-03T00:00:00"/>
    <x v="158"/>
    <x v="8"/>
    <n v="1"/>
    <n v="521"/>
    <n v="5"/>
    <x v="2"/>
    <x v="1"/>
    <n v="521"/>
    <n v="-2084"/>
    <n v="2605"/>
  </r>
  <r>
    <x v="752"/>
    <x v="8"/>
    <d v="2024-01-09T00:00:00"/>
    <x v="227"/>
    <x v="78"/>
    <n v="1"/>
    <n v="1322"/>
    <n v="15"/>
    <x v="0"/>
    <x v="0"/>
    <n v="1322"/>
    <n v="-18508"/>
    <n v="19830"/>
  </r>
  <r>
    <x v="753"/>
    <x v="9"/>
    <d v="2024-01-06T00:00:00"/>
    <x v="224"/>
    <x v="95"/>
    <n v="1"/>
    <n v="616"/>
    <n v="0"/>
    <x v="0"/>
    <x v="0"/>
    <n v="616"/>
    <n v="616"/>
    <n v="0"/>
  </r>
  <r>
    <x v="754"/>
    <x v="180"/>
    <d v="2024-01-03T00:00:00"/>
    <x v="82"/>
    <x v="78"/>
    <n v="1"/>
    <n v="1602"/>
    <n v="0"/>
    <x v="2"/>
    <x v="3"/>
    <n v="1602"/>
    <n v="1602"/>
    <n v="0"/>
  </r>
  <r>
    <x v="755"/>
    <x v="273"/>
    <d v="2024-01-08T00:00:00"/>
    <x v="199"/>
    <x v="52"/>
    <n v="1"/>
    <n v="1196"/>
    <n v="0"/>
    <x v="0"/>
    <x v="2"/>
    <n v="1196"/>
    <n v="1196"/>
    <n v="0"/>
  </r>
  <r>
    <x v="756"/>
    <x v="273"/>
    <d v="2024-01-09T00:00:00"/>
    <x v="282"/>
    <x v="3"/>
    <n v="1"/>
    <n v="1745"/>
    <n v="15"/>
    <x v="2"/>
    <x v="0"/>
    <n v="1745"/>
    <n v="-24430"/>
    <n v="26175"/>
  </r>
  <r>
    <x v="757"/>
    <x v="319"/>
    <d v="2024-01-06T00:00:00"/>
    <x v="104"/>
    <x v="96"/>
    <n v="1"/>
    <n v="742"/>
    <n v="0"/>
    <x v="1"/>
    <x v="1"/>
    <n v="742"/>
    <n v="742"/>
    <n v="0"/>
  </r>
  <r>
    <x v="758"/>
    <x v="319"/>
    <d v="2024-01-03T00:00:00"/>
    <x v="105"/>
    <x v="44"/>
    <n v="1"/>
    <n v="525"/>
    <n v="5"/>
    <x v="2"/>
    <x v="1"/>
    <n v="525"/>
    <n v="-2100"/>
    <n v="2625"/>
  </r>
  <r>
    <x v="759"/>
    <x v="320"/>
    <d v="2024-01-07T00:00:00"/>
    <x v="219"/>
    <x v="44"/>
    <n v="1"/>
    <n v="1035"/>
    <n v="15"/>
    <x v="0"/>
    <x v="3"/>
    <n v="1035"/>
    <n v="-14490"/>
    <n v="15525"/>
  </r>
  <r>
    <x v="760"/>
    <x v="11"/>
    <d v="2024-01-09T00:00:00"/>
    <x v="38"/>
    <x v="93"/>
    <n v="1"/>
    <n v="1058"/>
    <n v="5"/>
    <x v="2"/>
    <x v="1"/>
    <n v="1058"/>
    <n v="-4232"/>
    <n v="5290"/>
  </r>
  <r>
    <x v="761"/>
    <x v="274"/>
    <d v="2024-01-06T00:00:00"/>
    <x v="167"/>
    <x v="73"/>
    <n v="1"/>
    <n v="1723"/>
    <n v="0"/>
    <x v="2"/>
    <x v="1"/>
    <n v="1723"/>
    <n v="1723"/>
    <n v="0"/>
  </r>
  <r>
    <x v="762"/>
    <x v="275"/>
    <d v="2024-01-03T00:00:00"/>
    <x v="161"/>
    <x v="13"/>
    <n v="1"/>
    <n v="1981"/>
    <n v="0"/>
    <x v="2"/>
    <x v="1"/>
    <n v="1981"/>
    <n v="1981"/>
    <n v="0"/>
  </r>
  <r>
    <x v="763"/>
    <x v="185"/>
    <d v="2024-01-10T00:00:00"/>
    <x v="162"/>
    <x v="10"/>
    <n v="1"/>
    <n v="512"/>
    <n v="5"/>
    <x v="1"/>
    <x v="2"/>
    <n v="512"/>
    <n v="-2048"/>
    <n v="2560"/>
  </r>
  <r>
    <x v="764"/>
    <x v="14"/>
    <d v="2024-01-11T00:00:00"/>
    <x v="62"/>
    <x v="26"/>
    <n v="1"/>
    <n v="386"/>
    <n v="10"/>
    <x v="3"/>
    <x v="2"/>
    <n v="386"/>
    <n v="-3474"/>
    <n v="3860"/>
  </r>
  <r>
    <x v="765"/>
    <x v="15"/>
    <d v="2024-01-07T00:00:00"/>
    <x v="18"/>
    <x v="58"/>
    <n v="1"/>
    <n v="643"/>
    <n v="0"/>
    <x v="2"/>
    <x v="3"/>
    <n v="643"/>
    <n v="643"/>
    <n v="0"/>
  </r>
  <r>
    <x v="766"/>
    <x v="276"/>
    <d v="2024-01-03T00:00:00"/>
    <x v="283"/>
    <x v="31"/>
    <n v="1"/>
    <n v="1506"/>
    <n v="15"/>
    <x v="2"/>
    <x v="1"/>
    <n v="1506"/>
    <n v="-21084"/>
    <n v="22590"/>
  </r>
  <r>
    <x v="767"/>
    <x v="188"/>
    <d v="2024-01-10T00:00:00"/>
    <x v="234"/>
    <x v="73"/>
    <n v="1"/>
    <n v="228"/>
    <n v="0"/>
    <x v="2"/>
    <x v="3"/>
    <n v="228"/>
    <n v="228"/>
    <n v="0"/>
  </r>
  <r>
    <x v="768"/>
    <x v="277"/>
    <d v="2024-01-08T00:00:00"/>
    <x v="118"/>
    <x v="87"/>
    <n v="1"/>
    <n v="347"/>
    <n v="5"/>
    <x v="2"/>
    <x v="3"/>
    <n v="347"/>
    <n v="-1388"/>
    <n v="1735"/>
  </r>
  <r>
    <x v="769"/>
    <x v="277"/>
    <d v="2024-01-07T00:00:00"/>
    <x v="227"/>
    <x v="74"/>
    <n v="1"/>
    <n v="838"/>
    <n v="10"/>
    <x v="2"/>
    <x v="3"/>
    <n v="838"/>
    <n v="-7542"/>
    <n v="8380"/>
  </r>
  <r>
    <x v="770"/>
    <x v="277"/>
    <d v="2024-01-05T00:00:00"/>
    <x v="141"/>
    <x v="1"/>
    <n v="1"/>
    <n v="1859"/>
    <n v="0"/>
    <x v="2"/>
    <x v="0"/>
    <n v="1859"/>
    <n v="1859"/>
    <n v="0"/>
  </r>
  <r>
    <x v="771"/>
    <x v="18"/>
    <d v="2024-01-06T00:00:00"/>
    <x v="151"/>
    <x v="53"/>
    <n v="1"/>
    <n v="1362"/>
    <n v="5"/>
    <x v="0"/>
    <x v="1"/>
    <n v="1362"/>
    <n v="-5448"/>
    <n v="6810"/>
  </r>
  <r>
    <x v="772"/>
    <x v="18"/>
    <d v="2024-01-10T00:00:00"/>
    <x v="48"/>
    <x v="53"/>
    <n v="1"/>
    <n v="1032"/>
    <n v="0"/>
    <x v="1"/>
    <x v="3"/>
    <n v="1032"/>
    <n v="1032"/>
    <n v="0"/>
  </r>
  <r>
    <x v="773"/>
    <x v="19"/>
    <d v="2024-01-05T00:00:00"/>
    <x v="205"/>
    <x v="12"/>
    <n v="1"/>
    <n v="1449"/>
    <n v="15"/>
    <x v="1"/>
    <x v="2"/>
    <n v="1449"/>
    <n v="-20286"/>
    <n v="21735"/>
  </r>
  <r>
    <x v="774"/>
    <x v="190"/>
    <d v="2024-01-07T00:00:00"/>
    <x v="264"/>
    <x v="60"/>
    <n v="1"/>
    <n v="1173"/>
    <n v="15"/>
    <x v="0"/>
    <x v="0"/>
    <n v="1173"/>
    <n v="-16422"/>
    <n v="17595"/>
  </r>
  <r>
    <x v="775"/>
    <x v="21"/>
    <d v="2024-01-08T00:00:00"/>
    <x v="264"/>
    <x v="6"/>
    <n v="1"/>
    <n v="1114"/>
    <n v="0"/>
    <x v="0"/>
    <x v="3"/>
    <n v="1114"/>
    <n v="1114"/>
    <n v="0"/>
  </r>
  <r>
    <x v="776"/>
    <x v="321"/>
    <d v="2024-01-11T00:00:00"/>
    <x v="214"/>
    <x v="18"/>
    <n v="1"/>
    <n v="1864"/>
    <n v="0"/>
    <x v="0"/>
    <x v="2"/>
    <n v="1864"/>
    <n v="1864"/>
    <n v="0"/>
  </r>
  <r>
    <x v="777"/>
    <x v="321"/>
    <d v="2024-01-08T00:00:00"/>
    <x v="245"/>
    <x v="37"/>
    <n v="1"/>
    <n v="1146"/>
    <n v="5"/>
    <x v="0"/>
    <x v="3"/>
    <n v="1146"/>
    <n v="-4584"/>
    <n v="5730"/>
  </r>
  <r>
    <x v="778"/>
    <x v="280"/>
    <d v="2024-01-11T00:00:00"/>
    <x v="76"/>
    <x v="97"/>
    <n v="1"/>
    <n v="1347"/>
    <n v="15"/>
    <x v="3"/>
    <x v="0"/>
    <n v="1347"/>
    <n v="-18858"/>
    <n v="20205"/>
  </r>
  <r>
    <x v="779"/>
    <x v="280"/>
    <d v="2024-01-05T00:00:00"/>
    <x v="206"/>
    <x v="46"/>
    <n v="1"/>
    <n v="341"/>
    <n v="5"/>
    <x v="1"/>
    <x v="3"/>
    <n v="341"/>
    <n v="-1364"/>
    <n v="1705"/>
  </r>
  <r>
    <x v="780"/>
    <x v="26"/>
    <d v="2024-01-09T00:00:00"/>
    <x v="191"/>
    <x v="56"/>
    <n v="1"/>
    <n v="1160"/>
    <n v="0"/>
    <x v="1"/>
    <x v="3"/>
    <n v="1160"/>
    <n v="1160"/>
    <n v="0"/>
  </r>
  <r>
    <x v="781"/>
    <x v="322"/>
    <d v="2024-01-08T00:00:00"/>
    <x v="106"/>
    <x v="18"/>
    <n v="1"/>
    <n v="1893"/>
    <n v="5"/>
    <x v="2"/>
    <x v="3"/>
    <n v="1893"/>
    <n v="-7572"/>
    <n v="9465"/>
  </r>
  <r>
    <x v="782"/>
    <x v="27"/>
    <d v="2024-01-08T00:00:00"/>
    <x v="10"/>
    <x v="51"/>
    <n v="1"/>
    <n v="1036"/>
    <n v="15"/>
    <x v="2"/>
    <x v="1"/>
    <n v="1036"/>
    <n v="-14504"/>
    <n v="15540"/>
  </r>
  <r>
    <x v="783"/>
    <x v="283"/>
    <d v="2024-01-06T00:00:00"/>
    <x v="89"/>
    <x v="41"/>
    <n v="1"/>
    <n v="1161"/>
    <n v="15"/>
    <x v="3"/>
    <x v="0"/>
    <n v="1161"/>
    <n v="-16254"/>
    <n v="17415"/>
  </r>
  <r>
    <x v="784"/>
    <x v="193"/>
    <d v="2024-01-05T00:00:00"/>
    <x v="201"/>
    <x v="78"/>
    <n v="1"/>
    <n v="926"/>
    <n v="5"/>
    <x v="0"/>
    <x v="0"/>
    <n v="926"/>
    <n v="-3704"/>
    <n v="4630"/>
  </r>
  <r>
    <x v="785"/>
    <x v="284"/>
    <d v="2024-01-06T00:00:00"/>
    <x v="95"/>
    <x v="50"/>
    <n v="1"/>
    <n v="1582"/>
    <n v="10"/>
    <x v="2"/>
    <x v="0"/>
    <n v="1582"/>
    <n v="-14238"/>
    <n v="15820"/>
  </r>
  <r>
    <x v="786"/>
    <x v="32"/>
    <d v="2024-01-07T00:00:00"/>
    <x v="112"/>
    <x v="63"/>
    <n v="1"/>
    <n v="1369"/>
    <n v="10"/>
    <x v="2"/>
    <x v="3"/>
    <n v="1369"/>
    <n v="-12321"/>
    <n v="13690"/>
  </r>
  <r>
    <x v="787"/>
    <x v="32"/>
    <d v="2024-01-07T00:00:00"/>
    <x v="34"/>
    <x v="28"/>
    <n v="1"/>
    <n v="1318"/>
    <n v="15"/>
    <x v="2"/>
    <x v="2"/>
    <n v="1318"/>
    <n v="-18452"/>
    <n v="19770"/>
  </r>
  <r>
    <x v="788"/>
    <x v="285"/>
    <d v="2024-01-03T00:00:00"/>
    <x v="196"/>
    <x v="45"/>
    <n v="1"/>
    <n v="1913"/>
    <n v="10"/>
    <x v="1"/>
    <x v="0"/>
    <n v="1913"/>
    <n v="-17217"/>
    <n v="19130"/>
  </r>
  <r>
    <x v="789"/>
    <x v="33"/>
    <d v="2024-01-04T00:00:00"/>
    <x v="8"/>
    <x v="53"/>
    <n v="1"/>
    <n v="227"/>
    <n v="10"/>
    <x v="0"/>
    <x v="2"/>
    <n v="227"/>
    <n v="-2043"/>
    <n v="2270"/>
  </r>
  <r>
    <x v="790"/>
    <x v="195"/>
    <d v="2024-01-03T00:00:00"/>
    <x v="191"/>
    <x v="31"/>
    <n v="1"/>
    <n v="1882"/>
    <n v="10"/>
    <x v="0"/>
    <x v="3"/>
    <n v="1882"/>
    <n v="-16938"/>
    <n v="18820"/>
  </r>
  <r>
    <x v="791"/>
    <x v="196"/>
    <d v="2024-01-06T00:00:00"/>
    <x v="236"/>
    <x v="52"/>
    <n v="1"/>
    <n v="1171"/>
    <n v="5"/>
    <x v="2"/>
    <x v="1"/>
    <n v="1171"/>
    <n v="-4684"/>
    <n v="5855"/>
  </r>
  <r>
    <x v="792"/>
    <x v="35"/>
    <d v="2024-01-09T00:00:00"/>
    <x v="153"/>
    <x v="63"/>
    <n v="1"/>
    <n v="1151"/>
    <n v="0"/>
    <x v="0"/>
    <x v="3"/>
    <n v="1151"/>
    <n v="1151"/>
    <n v="0"/>
  </r>
  <r>
    <x v="793"/>
    <x v="35"/>
    <d v="2024-01-08T00:00:00"/>
    <x v="133"/>
    <x v="1"/>
    <n v="1"/>
    <n v="1526"/>
    <n v="15"/>
    <x v="0"/>
    <x v="0"/>
    <n v="1526"/>
    <n v="-21364"/>
    <n v="22890"/>
  </r>
  <r>
    <x v="794"/>
    <x v="36"/>
    <d v="2024-01-06T00:00:00"/>
    <x v="35"/>
    <x v="95"/>
    <n v="1"/>
    <n v="1860"/>
    <n v="10"/>
    <x v="0"/>
    <x v="0"/>
    <n v="1860"/>
    <n v="-16740"/>
    <n v="18600"/>
  </r>
  <r>
    <x v="795"/>
    <x v="36"/>
    <d v="2024-01-07T00:00:00"/>
    <x v="20"/>
    <x v="84"/>
    <n v="1"/>
    <n v="508"/>
    <n v="10"/>
    <x v="3"/>
    <x v="2"/>
    <n v="508"/>
    <n v="-4572"/>
    <n v="5080"/>
  </r>
  <r>
    <x v="796"/>
    <x v="286"/>
    <d v="2024-01-03T00:00:00"/>
    <x v="152"/>
    <x v="48"/>
    <n v="1"/>
    <n v="667"/>
    <n v="15"/>
    <x v="1"/>
    <x v="2"/>
    <n v="667"/>
    <n v="-9338"/>
    <n v="10005"/>
  </r>
  <r>
    <x v="797"/>
    <x v="39"/>
    <d v="2024-01-03T00:00:00"/>
    <x v="90"/>
    <x v="31"/>
    <n v="1"/>
    <n v="562"/>
    <n v="0"/>
    <x v="3"/>
    <x v="3"/>
    <n v="562"/>
    <n v="562"/>
    <n v="0"/>
  </r>
  <r>
    <x v="798"/>
    <x v="323"/>
    <d v="2024-01-09T00:00:00"/>
    <x v="192"/>
    <x v="80"/>
    <n v="1"/>
    <n v="1588"/>
    <n v="5"/>
    <x v="0"/>
    <x v="2"/>
    <n v="1588"/>
    <n v="-6352"/>
    <n v="7940"/>
  </r>
  <r>
    <x v="799"/>
    <x v="198"/>
    <d v="2024-01-09T00:00:00"/>
    <x v="67"/>
    <x v="69"/>
    <n v="1"/>
    <n v="1087"/>
    <n v="15"/>
    <x v="3"/>
    <x v="3"/>
    <n v="1087"/>
    <n v="-15218"/>
    <n v="16305"/>
  </r>
  <r>
    <x v="800"/>
    <x v="199"/>
    <d v="2024-01-05T00:00:00"/>
    <x v="17"/>
    <x v="58"/>
    <n v="1"/>
    <n v="1021"/>
    <n v="10"/>
    <x v="3"/>
    <x v="2"/>
    <n v="1021"/>
    <n v="-9189"/>
    <n v="10210"/>
  </r>
  <r>
    <x v="801"/>
    <x v="40"/>
    <d v="2024-01-07T00:00:00"/>
    <x v="200"/>
    <x v="16"/>
    <n v="1"/>
    <n v="609"/>
    <n v="0"/>
    <x v="3"/>
    <x v="1"/>
    <n v="609"/>
    <n v="609"/>
    <n v="0"/>
  </r>
  <r>
    <x v="802"/>
    <x v="40"/>
    <d v="2024-01-03T00:00:00"/>
    <x v="24"/>
    <x v="91"/>
    <n v="1"/>
    <n v="1748"/>
    <n v="0"/>
    <x v="2"/>
    <x v="1"/>
    <n v="1748"/>
    <n v="1748"/>
    <n v="0"/>
  </r>
  <r>
    <x v="803"/>
    <x v="41"/>
    <d v="2024-01-10T00:00:00"/>
    <x v="187"/>
    <x v="60"/>
    <n v="1"/>
    <n v="1739"/>
    <n v="5"/>
    <x v="1"/>
    <x v="2"/>
    <n v="1739"/>
    <n v="-6956"/>
    <n v="8695"/>
  </r>
  <r>
    <x v="804"/>
    <x v="41"/>
    <d v="2024-01-08T00:00:00"/>
    <x v="113"/>
    <x v="42"/>
    <n v="1"/>
    <n v="1503"/>
    <n v="0"/>
    <x v="1"/>
    <x v="1"/>
    <n v="1503"/>
    <n v="1503"/>
    <n v="0"/>
  </r>
  <r>
    <x v="805"/>
    <x v="200"/>
    <d v="2024-01-10T00:00:00"/>
    <x v="110"/>
    <x v="16"/>
    <n v="1"/>
    <n v="1444"/>
    <n v="5"/>
    <x v="1"/>
    <x v="0"/>
    <n v="1444"/>
    <n v="-5776"/>
    <n v="7220"/>
  </r>
  <r>
    <x v="806"/>
    <x v="200"/>
    <d v="2024-01-05T00:00:00"/>
    <x v="114"/>
    <x v="28"/>
    <n v="1"/>
    <n v="323"/>
    <n v="15"/>
    <x v="2"/>
    <x v="0"/>
    <n v="323"/>
    <n v="-4522"/>
    <n v="4845"/>
  </r>
  <r>
    <x v="807"/>
    <x v="324"/>
    <d v="2024-01-10T00:00:00"/>
    <x v="158"/>
    <x v="28"/>
    <n v="1"/>
    <n v="1253"/>
    <n v="5"/>
    <x v="2"/>
    <x v="0"/>
    <n v="1253"/>
    <n v="-5012"/>
    <n v="6265"/>
  </r>
  <r>
    <x v="808"/>
    <x v="201"/>
    <d v="2024-01-05T00:00:00"/>
    <x v="284"/>
    <x v="95"/>
    <n v="1"/>
    <n v="1878"/>
    <n v="15"/>
    <x v="2"/>
    <x v="3"/>
    <n v="1878"/>
    <n v="-26292"/>
    <n v="28170"/>
  </r>
  <r>
    <x v="809"/>
    <x v="201"/>
    <d v="2024-01-05T00:00:00"/>
    <x v="106"/>
    <x v="8"/>
    <n v="1"/>
    <n v="1970"/>
    <n v="0"/>
    <x v="2"/>
    <x v="2"/>
    <n v="1970"/>
    <n v="1970"/>
    <n v="0"/>
  </r>
  <r>
    <x v="810"/>
    <x v="201"/>
    <d v="2024-01-06T00:00:00"/>
    <x v="156"/>
    <x v="31"/>
    <n v="1"/>
    <n v="600"/>
    <n v="0"/>
    <x v="1"/>
    <x v="2"/>
    <n v="600"/>
    <n v="600"/>
    <n v="0"/>
  </r>
  <r>
    <x v="811"/>
    <x v="45"/>
    <d v="2024-01-09T00:00:00"/>
    <x v="185"/>
    <x v="19"/>
    <n v="1"/>
    <n v="1627"/>
    <n v="5"/>
    <x v="3"/>
    <x v="2"/>
    <n v="1627"/>
    <n v="-6508"/>
    <n v="8135"/>
  </r>
  <r>
    <x v="812"/>
    <x v="45"/>
    <d v="2024-01-06T00:00:00"/>
    <x v="171"/>
    <x v="71"/>
    <n v="1"/>
    <n v="384"/>
    <n v="0"/>
    <x v="0"/>
    <x v="1"/>
    <n v="384"/>
    <n v="384"/>
    <n v="0"/>
  </r>
  <r>
    <x v="813"/>
    <x v="46"/>
    <d v="2024-01-09T00:00:00"/>
    <x v="1"/>
    <x v="20"/>
    <n v="1"/>
    <n v="1616"/>
    <n v="10"/>
    <x v="0"/>
    <x v="2"/>
    <n v="1616"/>
    <n v="-14544"/>
    <n v="16160"/>
  </r>
  <r>
    <x v="814"/>
    <x v="46"/>
    <d v="2024-01-04T00:00:00"/>
    <x v="285"/>
    <x v="87"/>
    <n v="1"/>
    <n v="1249"/>
    <n v="5"/>
    <x v="1"/>
    <x v="2"/>
    <n v="1249"/>
    <n v="-4996"/>
    <n v="6245"/>
  </r>
  <r>
    <x v="815"/>
    <x v="46"/>
    <d v="2024-01-04T00:00:00"/>
    <x v="86"/>
    <x v="11"/>
    <n v="1"/>
    <n v="777"/>
    <n v="0"/>
    <x v="1"/>
    <x v="0"/>
    <n v="777"/>
    <n v="777"/>
    <n v="0"/>
  </r>
  <r>
    <x v="816"/>
    <x v="203"/>
    <d v="2024-01-11T00:00:00"/>
    <x v="12"/>
    <x v="3"/>
    <n v="1"/>
    <n v="1900"/>
    <n v="10"/>
    <x v="0"/>
    <x v="1"/>
    <n v="1900"/>
    <n v="-17100"/>
    <n v="19000"/>
  </r>
  <r>
    <x v="817"/>
    <x v="204"/>
    <d v="2024-01-03T00:00:00"/>
    <x v="58"/>
    <x v="48"/>
    <n v="1"/>
    <n v="387"/>
    <n v="0"/>
    <x v="1"/>
    <x v="0"/>
    <n v="387"/>
    <n v="387"/>
    <n v="0"/>
  </r>
  <r>
    <x v="818"/>
    <x v="325"/>
    <d v="2024-01-10T00:00:00"/>
    <x v="1"/>
    <x v="48"/>
    <n v="1"/>
    <n v="638"/>
    <n v="0"/>
    <x v="3"/>
    <x v="0"/>
    <n v="638"/>
    <n v="638"/>
    <n v="0"/>
  </r>
  <r>
    <x v="819"/>
    <x v="48"/>
    <d v="2024-01-06T00:00:00"/>
    <x v="68"/>
    <x v="54"/>
    <n v="1"/>
    <n v="1057"/>
    <n v="0"/>
    <x v="2"/>
    <x v="2"/>
    <n v="1057"/>
    <n v="1057"/>
    <n v="0"/>
  </r>
  <r>
    <x v="820"/>
    <x v="50"/>
    <d v="2024-01-06T00:00:00"/>
    <x v="76"/>
    <x v="26"/>
    <n v="1"/>
    <n v="1339"/>
    <n v="5"/>
    <x v="0"/>
    <x v="0"/>
    <n v="1339"/>
    <n v="-5356"/>
    <n v="6695"/>
  </r>
  <r>
    <x v="821"/>
    <x v="206"/>
    <d v="2024-01-07T00:00:00"/>
    <x v="267"/>
    <x v="41"/>
    <n v="1"/>
    <n v="1312"/>
    <n v="10"/>
    <x v="2"/>
    <x v="3"/>
    <n v="1312"/>
    <n v="-11808"/>
    <n v="13120"/>
  </r>
  <r>
    <x v="822"/>
    <x v="207"/>
    <d v="2024-01-07T00:00:00"/>
    <x v="42"/>
    <x v="43"/>
    <n v="1"/>
    <n v="548"/>
    <n v="5"/>
    <x v="3"/>
    <x v="2"/>
    <n v="548"/>
    <n v="-2192"/>
    <n v="2740"/>
  </r>
  <r>
    <x v="823"/>
    <x v="51"/>
    <d v="2024-01-08T00:00:00"/>
    <x v="14"/>
    <x v="51"/>
    <n v="1"/>
    <n v="783"/>
    <n v="10"/>
    <x v="1"/>
    <x v="0"/>
    <n v="783"/>
    <n v="-7047"/>
    <n v="7830"/>
  </r>
  <r>
    <x v="824"/>
    <x v="51"/>
    <d v="2024-01-11T00:00:00"/>
    <x v="224"/>
    <x v="84"/>
    <n v="1"/>
    <n v="397"/>
    <n v="5"/>
    <x v="3"/>
    <x v="3"/>
    <n v="397"/>
    <n v="-1588"/>
    <n v="1985"/>
  </r>
  <r>
    <x v="825"/>
    <x v="291"/>
    <d v="2024-01-11T00:00:00"/>
    <x v="199"/>
    <x v="70"/>
    <n v="1"/>
    <n v="751"/>
    <n v="0"/>
    <x v="0"/>
    <x v="0"/>
    <n v="751"/>
    <n v="751"/>
    <n v="0"/>
  </r>
  <r>
    <x v="826"/>
    <x v="52"/>
    <d v="2024-01-11T00:00:00"/>
    <x v="132"/>
    <x v="42"/>
    <n v="1"/>
    <n v="751"/>
    <n v="0"/>
    <x v="1"/>
    <x v="1"/>
    <n v="751"/>
    <n v="751"/>
    <n v="0"/>
  </r>
  <r>
    <x v="827"/>
    <x v="52"/>
    <d v="2024-01-11T00:00:00"/>
    <x v="98"/>
    <x v="42"/>
    <n v="1"/>
    <n v="743"/>
    <n v="0"/>
    <x v="0"/>
    <x v="0"/>
    <n v="743"/>
    <n v="743"/>
    <n v="0"/>
  </r>
  <r>
    <x v="828"/>
    <x v="56"/>
    <d v="2024-01-09T00:00:00"/>
    <x v="178"/>
    <x v="2"/>
    <n v="1"/>
    <n v="1602"/>
    <n v="5"/>
    <x v="0"/>
    <x v="2"/>
    <n v="1602"/>
    <n v="-6408"/>
    <n v="8010"/>
  </r>
  <r>
    <x v="829"/>
    <x v="57"/>
    <d v="2024-01-04T00:00:00"/>
    <x v="268"/>
    <x v="52"/>
    <n v="1"/>
    <n v="1273"/>
    <n v="5"/>
    <x v="3"/>
    <x v="2"/>
    <n v="1273"/>
    <n v="-5092"/>
    <n v="6365"/>
  </r>
  <r>
    <x v="830"/>
    <x v="57"/>
    <d v="2024-01-04T00:00:00"/>
    <x v="64"/>
    <x v="32"/>
    <n v="1"/>
    <n v="1499"/>
    <n v="10"/>
    <x v="3"/>
    <x v="2"/>
    <n v="1499"/>
    <n v="-13491"/>
    <n v="14990"/>
  </r>
  <r>
    <x v="831"/>
    <x v="58"/>
    <d v="2024-01-05T00:00:00"/>
    <x v="81"/>
    <x v="25"/>
    <n v="1"/>
    <n v="1085"/>
    <n v="0"/>
    <x v="1"/>
    <x v="0"/>
    <n v="1085"/>
    <n v="1085"/>
    <n v="0"/>
  </r>
  <r>
    <x v="832"/>
    <x v="59"/>
    <d v="2024-01-03T00:00:00"/>
    <x v="36"/>
    <x v="70"/>
    <n v="1"/>
    <n v="950"/>
    <n v="10"/>
    <x v="2"/>
    <x v="2"/>
    <n v="950"/>
    <n v="-8550"/>
    <n v="9500"/>
  </r>
  <r>
    <x v="833"/>
    <x v="326"/>
    <d v="2024-01-05T00:00:00"/>
    <x v="164"/>
    <x v="88"/>
    <n v="1"/>
    <n v="1705"/>
    <n v="5"/>
    <x v="1"/>
    <x v="3"/>
    <n v="1705"/>
    <n v="-6820"/>
    <n v="8525"/>
  </r>
  <r>
    <x v="834"/>
    <x v="292"/>
    <d v="2024-01-07T00:00:00"/>
    <x v="241"/>
    <x v="14"/>
    <n v="1"/>
    <n v="1243"/>
    <n v="15"/>
    <x v="2"/>
    <x v="1"/>
    <n v="1243"/>
    <n v="-17402"/>
    <n v="18645"/>
  </r>
  <r>
    <x v="835"/>
    <x v="61"/>
    <d v="2024-01-07T00:00:00"/>
    <x v="142"/>
    <x v="70"/>
    <n v="1"/>
    <n v="511"/>
    <n v="0"/>
    <x v="1"/>
    <x v="2"/>
    <n v="511"/>
    <n v="511"/>
    <n v="0"/>
  </r>
  <r>
    <x v="836"/>
    <x v="63"/>
    <d v="2024-01-07T00:00:00"/>
    <x v="178"/>
    <x v="34"/>
    <n v="1"/>
    <n v="348"/>
    <n v="15"/>
    <x v="0"/>
    <x v="1"/>
    <n v="348"/>
    <n v="-4872"/>
    <n v="5220"/>
  </r>
  <r>
    <x v="837"/>
    <x v="210"/>
    <d v="2024-01-07T00:00:00"/>
    <x v="276"/>
    <x v="4"/>
    <n v="1"/>
    <n v="1258"/>
    <n v="5"/>
    <x v="3"/>
    <x v="3"/>
    <n v="1258"/>
    <n v="-5032"/>
    <n v="6290"/>
  </r>
  <r>
    <x v="838"/>
    <x v="210"/>
    <d v="2024-01-09T00:00:00"/>
    <x v="106"/>
    <x v="2"/>
    <n v="1"/>
    <n v="1579"/>
    <n v="10"/>
    <x v="1"/>
    <x v="3"/>
    <n v="1579"/>
    <n v="-14211"/>
    <n v="15790"/>
  </r>
  <r>
    <x v="839"/>
    <x v="211"/>
    <d v="2024-01-07T00:00:00"/>
    <x v="161"/>
    <x v="93"/>
    <n v="1"/>
    <n v="1370"/>
    <n v="0"/>
    <x v="3"/>
    <x v="1"/>
    <n v="1370"/>
    <n v="1370"/>
    <n v="0"/>
  </r>
  <r>
    <x v="840"/>
    <x v="211"/>
    <d v="2024-01-04T00:00:00"/>
    <x v="147"/>
    <x v="74"/>
    <n v="1"/>
    <n v="1462"/>
    <n v="0"/>
    <x v="1"/>
    <x v="1"/>
    <n v="1462"/>
    <n v="1462"/>
    <n v="0"/>
  </r>
  <r>
    <x v="841"/>
    <x v="66"/>
    <d v="2024-01-07T00:00:00"/>
    <x v="157"/>
    <x v="77"/>
    <n v="1"/>
    <n v="1860"/>
    <n v="0"/>
    <x v="2"/>
    <x v="2"/>
    <n v="1860"/>
    <n v="1860"/>
    <n v="0"/>
  </r>
  <r>
    <x v="842"/>
    <x v="67"/>
    <d v="2024-01-11T00:00:00"/>
    <x v="137"/>
    <x v="61"/>
    <n v="1"/>
    <n v="1006"/>
    <n v="15"/>
    <x v="3"/>
    <x v="1"/>
    <n v="1006"/>
    <n v="-14084"/>
    <n v="15090"/>
  </r>
  <r>
    <x v="843"/>
    <x v="67"/>
    <d v="2024-01-07T00:00:00"/>
    <x v="275"/>
    <x v="14"/>
    <n v="1"/>
    <n v="209"/>
    <n v="10"/>
    <x v="2"/>
    <x v="3"/>
    <n v="209"/>
    <n v="-1881"/>
    <n v="2090"/>
  </r>
  <r>
    <x v="844"/>
    <x v="68"/>
    <d v="2024-01-04T00:00:00"/>
    <x v="260"/>
    <x v="78"/>
    <n v="1"/>
    <n v="906"/>
    <n v="15"/>
    <x v="0"/>
    <x v="2"/>
    <n v="906"/>
    <n v="-12684"/>
    <n v="13590"/>
  </r>
  <r>
    <x v="845"/>
    <x v="69"/>
    <d v="2024-01-08T00:00:00"/>
    <x v="253"/>
    <x v="33"/>
    <n v="1"/>
    <n v="920"/>
    <n v="5"/>
    <x v="1"/>
    <x v="2"/>
    <n v="920"/>
    <n v="-3680"/>
    <n v="4600"/>
  </r>
  <r>
    <x v="846"/>
    <x v="69"/>
    <d v="2024-01-05T00:00:00"/>
    <x v="120"/>
    <x v="53"/>
    <n v="1"/>
    <n v="1990"/>
    <n v="15"/>
    <x v="2"/>
    <x v="3"/>
    <n v="1990"/>
    <n v="-27860"/>
    <n v="29850"/>
  </r>
  <r>
    <x v="847"/>
    <x v="213"/>
    <d v="2024-01-09T00:00:00"/>
    <x v="127"/>
    <x v="4"/>
    <n v="1"/>
    <n v="1832"/>
    <n v="15"/>
    <x v="0"/>
    <x v="3"/>
    <n v="1832"/>
    <n v="-25648"/>
    <n v="27480"/>
  </r>
  <r>
    <x v="848"/>
    <x v="327"/>
    <d v="2024-01-06T00:00:00"/>
    <x v="249"/>
    <x v="23"/>
    <n v="1"/>
    <n v="788"/>
    <n v="10"/>
    <x v="2"/>
    <x v="3"/>
    <n v="788"/>
    <n v="-7092"/>
    <n v="7880"/>
  </r>
  <r>
    <x v="849"/>
    <x v="214"/>
    <d v="2024-01-07T00:00:00"/>
    <x v="83"/>
    <x v="90"/>
    <n v="1"/>
    <n v="1814"/>
    <n v="0"/>
    <x v="3"/>
    <x v="2"/>
    <n v="1814"/>
    <n v="1814"/>
    <n v="0"/>
  </r>
  <r>
    <x v="850"/>
    <x v="217"/>
    <d v="2024-01-06T00:00:00"/>
    <x v="186"/>
    <x v="40"/>
    <n v="1"/>
    <n v="590"/>
    <n v="15"/>
    <x v="2"/>
    <x v="3"/>
    <n v="590"/>
    <n v="-8260"/>
    <n v="8850"/>
  </r>
  <r>
    <x v="851"/>
    <x v="219"/>
    <d v="2024-01-03T00:00:00"/>
    <x v="253"/>
    <x v="28"/>
    <n v="1"/>
    <n v="1690"/>
    <n v="10"/>
    <x v="0"/>
    <x v="3"/>
    <n v="1690"/>
    <n v="-15210"/>
    <n v="16900"/>
  </r>
  <r>
    <x v="852"/>
    <x v="294"/>
    <d v="2024-01-06T00:00:00"/>
    <x v="170"/>
    <x v="76"/>
    <n v="1"/>
    <n v="784"/>
    <n v="0"/>
    <x v="2"/>
    <x v="2"/>
    <n v="784"/>
    <n v="784"/>
    <n v="0"/>
  </r>
  <r>
    <x v="853"/>
    <x v="222"/>
    <d v="2024-01-09T00:00:00"/>
    <x v="154"/>
    <x v="20"/>
    <n v="1"/>
    <n v="725"/>
    <n v="0"/>
    <x v="1"/>
    <x v="0"/>
    <n v="725"/>
    <n v="725"/>
    <n v="0"/>
  </r>
  <r>
    <x v="854"/>
    <x v="222"/>
    <d v="2024-01-08T00:00:00"/>
    <x v="200"/>
    <x v="78"/>
    <n v="1"/>
    <n v="571"/>
    <n v="15"/>
    <x v="2"/>
    <x v="0"/>
    <n v="571"/>
    <n v="-7994"/>
    <n v="8565"/>
  </r>
  <r>
    <x v="855"/>
    <x v="222"/>
    <d v="2024-01-04T00:00:00"/>
    <x v="226"/>
    <x v="35"/>
    <n v="1"/>
    <n v="309"/>
    <n v="10"/>
    <x v="1"/>
    <x v="2"/>
    <n v="309"/>
    <n v="-2781"/>
    <n v="3090"/>
  </r>
  <r>
    <x v="856"/>
    <x v="79"/>
    <d v="2024-01-09T00:00:00"/>
    <x v="116"/>
    <x v="46"/>
    <n v="1"/>
    <n v="1317"/>
    <n v="5"/>
    <x v="3"/>
    <x v="2"/>
    <n v="1317"/>
    <n v="-5268"/>
    <n v="6585"/>
  </r>
  <r>
    <x v="857"/>
    <x v="81"/>
    <d v="2024-01-04T00:00:00"/>
    <x v="15"/>
    <x v="5"/>
    <n v="1"/>
    <n v="388"/>
    <n v="10"/>
    <x v="2"/>
    <x v="3"/>
    <n v="388"/>
    <n v="-3492"/>
    <n v="3880"/>
  </r>
  <r>
    <x v="858"/>
    <x v="223"/>
    <d v="2024-01-09T00:00:00"/>
    <x v="173"/>
    <x v="98"/>
    <n v="1"/>
    <n v="1323"/>
    <n v="5"/>
    <x v="0"/>
    <x v="1"/>
    <n v="1323"/>
    <n v="-5292"/>
    <n v="6615"/>
  </r>
  <r>
    <x v="859"/>
    <x v="295"/>
    <d v="2024-01-03T00:00:00"/>
    <x v="192"/>
    <x v="23"/>
    <n v="1"/>
    <n v="1646"/>
    <n v="15"/>
    <x v="2"/>
    <x v="1"/>
    <n v="1646"/>
    <n v="-23044"/>
    <n v="24690"/>
  </r>
  <r>
    <x v="860"/>
    <x v="224"/>
    <d v="2024-01-06T00:00:00"/>
    <x v="75"/>
    <x v="85"/>
    <n v="1"/>
    <n v="1031"/>
    <n v="15"/>
    <x v="0"/>
    <x v="0"/>
    <n v="1031"/>
    <n v="-14434"/>
    <n v="15465"/>
  </r>
  <r>
    <x v="861"/>
    <x v="84"/>
    <d v="2024-01-11T00:00:00"/>
    <x v="263"/>
    <x v="42"/>
    <n v="1"/>
    <n v="277"/>
    <n v="0"/>
    <x v="0"/>
    <x v="1"/>
    <n v="277"/>
    <n v="277"/>
    <n v="0"/>
  </r>
  <r>
    <x v="862"/>
    <x v="328"/>
    <d v="2024-01-08T00:00:00"/>
    <x v="100"/>
    <x v="37"/>
    <n v="1"/>
    <n v="470"/>
    <n v="0"/>
    <x v="1"/>
    <x v="1"/>
    <n v="470"/>
    <n v="470"/>
    <n v="0"/>
  </r>
  <r>
    <x v="863"/>
    <x v="227"/>
    <d v="2024-01-03T00:00:00"/>
    <x v="286"/>
    <x v="44"/>
    <n v="1"/>
    <n v="904"/>
    <n v="15"/>
    <x v="3"/>
    <x v="2"/>
    <n v="904"/>
    <n v="-12656"/>
    <n v="13560"/>
  </r>
  <r>
    <x v="864"/>
    <x v="227"/>
    <d v="2024-01-10T00:00:00"/>
    <x v="40"/>
    <x v="24"/>
    <n v="1"/>
    <n v="1222"/>
    <n v="0"/>
    <x v="0"/>
    <x v="1"/>
    <n v="1222"/>
    <n v="1222"/>
    <n v="0"/>
  </r>
  <r>
    <x v="865"/>
    <x v="228"/>
    <d v="2024-01-06T00:00:00"/>
    <x v="270"/>
    <x v="44"/>
    <n v="1"/>
    <n v="1080"/>
    <n v="15"/>
    <x v="0"/>
    <x v="2"/>
    <n v="1080"/>
    <n v="-15120"/>
    <n v="16200"/>
  </r>
  <r>
    <x v="866"/>
    <x v="90"/>
    <d v="2024-01-10T00:00:00"/>
    <x v="181"/>
    <x v="99"/>
    <n v="1"/>
    <n v="451"/>
    <n v="0"/>
    <x v="3"/>
    <x v="1"/>
    <n v="451"/>
    <n v="451"/>
    <n v="0"/>
  </r>
  <r>
    <x v="867"/>
    <x v="229"/>
    <d v="2024-01-06T00:00:00"/>
    <x v="184"/>
    <x v="4"/>
    <n v="1"/>
    <n v="1541"/>
    <n v="15"/>
    <x v="3"/>
    <x v="3"/>
    <n v="1541"/>
    <n v="-21574"/>
    <n v="23115"/>
  </r>
  <r>
    <x v="868"/>
    <x v="229"/>
    <d v="2024-01-11T00:00:00"/>
    <x v="286"/>
    <x v="22"/>
    <n v="1"/>
    <n v="678"/>
    <n v="15"/>
    <x v="2"/>
    <x v="1"/>
    <n v="678"/>
    <n v="-9492"/>
    <n v="10170"/>
  </r>
  <r>
    <x v="869"/>
    <x v="91"/>
    <d v="2024-01-07T00:00:00"/>
    <x v="21"/>
    <x v="97"/>
    <n v="1"/>
    <n v="1933"/>
    <n v="0"/>
    <x v="0"/>
    <x v="3"/>
    <n v="1933"/>
    <n v="1933"/>
    <n v="0"/>
  </r>
  <r>
    <x v="870"/>
    <x v="231"/>
    <d v="2024-01-08T00:00:00"/>
    <x v="112"/>
    <x v="25"/>
    <n v="1"/>
    <n v="1224"/>
    <n v="10"/>
    <x v="2"/>
    <x v="0"/>
    <n v="1224"/>
    <n v="-11016"/>
    <n v="12240"/>
  </r>
  <r>
    <x v="871"/>
    <x v="96"/>
    <d v="2024-01-06T00:00:00"/>
    <x v="25"/>
    <x v="27"/>
    <n v="1"/>
    <n v="1167"/>
    <n v="15"/>
    <x v="0"/>
    <x v="2"/>
    <n v="1167"/>
    <n v="-16338"/>
    <n v="17505"/>
  </r>
  <r>
    <x v="872"/>
    <x v="298"/>
    <d v="2024-01-03T00:00:00"/>
    <x v="78"/>
    <x v="96"/>
    <n v="1"/>
    <n v="209"/>
    <n v="15"/>
    <x v="1"/>
    <x v="0"/>
    <n v="209"/>
    <n v="-2926"/>
    <n v="3135"/>
  </r>
  <r>
    <x v="873"/>
    <x v="232"/>
    <d v="2024-01-08T00:00:00"/>
    <x v="266"/>
    <x v="94"/>
    <n v="1"/>
    <n v="433"/>
    <n v="15"/>
    <x v="0"/>
    <x v="2"/>
    <n v="433"/>
    <n v="-6062"/>
    <n v="6495"/>
  </r>
  <r>
    <x v="874"/>
    <x v="329"/>
    <d v="2024-01-04T00:00:00"/>
    <x v="188"/>
    <x v="98"/>
    <n v="1"/>
    <n v="1569"/>
    <n v="15"/>
    <x v="1"/>
    <x v="1"/>
    <n v="1569"/>
    <n v="-21966"/>
    <n v="23535"/>
  </r>
  <r>
    <x v="875"/>
    <x v="329"/>
    <d v="2024-01-08T00:00:00"/>
    <x v="47"/>
    <x v="43"/>
    <n v="1"/>
    <n v="1285"/>
    <n v="5"/>
    <x v="3"/>
    <x v="0"/>
    <n v="1285"/>
    <n v="-5140"/>
    <n v="6425"/>
  </r>
  <r>
    <x v="876"/>
    <x v="98"/>
    <d v="2024-01-04T00:00:00"/>
    <x v="59"/>
    <x v="69"/>
    <n v="1"/>
    <n v="1843"/>
    <n v="15"/>
    <x v="2"/>
    <x v="3"/>
    <n v="1843"/>
    <n v="-25802"/>
    <n v="27645"/>
  </r>
  <r>
    <x v="877"/>
    <x v="330"/>
    <d v="2024-01-05T00:00:00"/>
    <x v="274"/>
    <x v="54"/>
    <n v="1"/>
    <n v="387"/>
    <n v="5"/>
    <x v="0"/>
    <x v="0"/>
    <n v="387"/>
    <n v="-1548"/>
    <n v="1935"/>
  </r>
  <r>
    <x v="878"/>
    <x v="236"/>
    <d v="2024-01-07T00:00:00"/>
    <x v="137"/>
    <x v="37"/>
    <n v="1"/>
    <n v="1133"/>
    <n v="5"/>
    <x v="0"/>
    <x v="0"/>
    <n v="1133"/>
    <n v="-4532"/>
    <n v="5665"/>
  </r>
  <r>
    <x v="879"/>
    <x v="102"/>
    <d v="2024-01-08T00:00:00"/>
    <x v="94"/>
    <x v="41"/>
    <n v="1"/>
    <n v="1839"/>
    <n v="15"/>
    <x v="1"/>
    <x v="3"/>
    <n v="1839"/>
    <n v="-25746"/>
    <n v="27585"/>
  </r>
  <r>
    <x v="880"/>
    <x v="237"/>
    <d v="2024-01-03T00:00:00"/>
    <x v="90"/>
    <x v="9"/>
    <n v="1"/>
    <n v="674"/>
    <n v="10"/>
    <x v="1"/>
    <x v="0"/>
    <n v="674"/>
    <n v="-6066"/>
    <n v="6740"/>
  </r>
  <r>
    <x v="881"/>
    <x v="103"/>
    <d v="2024-01-10T00:00:00"/>
    <x v="154"/>
    <x v="96"/>
    <n v="1"/>
    <n v="612"/>
    <n v="15"/>
    <x v="2"/>
    <x v="2"/>
    <n v="612"/>
    <n v="-8568"/>
    <n v="9180"/>
  </r>
  <r>
    <x v="882"/>
    <x v="104"/>
    <d v="2024-01-10T00:00:00"/>
    <x v="267"/>
    <x v="69"/>
    <n v="1"/>
    <n v="853"/>
    <n v="10"/>
    <x v="0"/>
    <x v="2"/>
    <n v="853"/>
    <n v="-7677"/>
    <n v="8530"/>
  </r>
  <r>
    <x v="883"/>
    <x v="105"/>
    <d v="2024-01-09T00:00:00"/>
    <x v="66"/>
    <x v="50"/>
    <n v="1"/>
    <n v="496"/>
    <n v="15"/>
    <x v="2"/>
    <x v="0"/>
    <n v="496"/>
    <n v="-6944"/>
    <n v="7440"/>
  </r>
  <r>
    <x v="884"/>
    <x v="106"/>
    <d v="2024-01-09T00:00:00"/>
    <x v="99"/>
    <x v="64"/>
    <n v="1"/>
    <n v="903"/>
    <n v="5"/>
    <x v="2"/>
    <x v="2"/>
    <n v="903"/>
    <n v="-3612"/>
    <n v="4515"/>
  </r>
  <r>
    <x v="885"/>
    <x v="239"/>
    <d v="2024-01-05T00:00:00"/>
    <x v="138"/>
    <x v="32"/>
    <n v="1"/>
    <n v="1779"/>
    <n v="0"/>
    <x v="1"/>
    <x v="2"/>
    <n v="1779"/>
    <n v="1779"/>
    <n v="0"/>
  </r>
  <r>
    <x v="886"/>
    <x v="107"/>
    <d v="2024-01-06T00:00:00"/>
    <x v="221"/>
    <x v="18"/>
    <n v="1"/>
    <n v="1927"/>
    <n v="5"/>
    <x v="3"/>
    <x v="2"/>
    <n v="1927"/>
    <n v="-7708"/>
    <n v="9635"/>
  </r>
  <r>
    <x v="887"/>
    <x v="107"/>
    <d v="2024-01-09T00:00:00"/>
    <x v="32"/>
    <x v="61"/>
    <n v="1"/>
    <n v="1990"/>
    <n v="5"/>
    <x v="2"/>
    <x v="0"/>
    <n v="1990"/>
    <n v="-7960"/>
    <n v="9950"/>
  </r>
  <r>
    <x v="888"/>
    <x v="107"/>
    <d v="2024-01-10T00:00:00"/>
    <x v="144"/>
    <x v="4"/>
    <n v="1"/>
    <n v="1853"/>
    <n v="15"/>
    <x v="1"/>
    <x v="2"/>
    <n v="1853"/>
    <n v="-25942"/>
    <n v="27795"/>
  </r>
  <r>
    <x v="889"/>
    <x v="108"/>
    <d v="2024-01-10T00:00:00"/>
    <x v="94"/>
    <x v="64"/>
    <n v="1"/>
    <n v="1070"/>
    <n v="15"/>
    <x v="3"/>
    <x v="1"/>
    <n v="1070"/>
    <n v="-14980"/>
    <n v="16050"/>
  </r>
  <r>
    <x v="890"/>
    <x v="331"/>
    <d v="2024-01-10T00:00:00"/>
    <x v="56"/>
    <x v="21"/>
    <n v="1"/>
    <n v="1901"/>
    <n v="10"/>
    <x v="1"/>
    <x v="1"/>
    <n v="1901"/>
    <n v="-17109"/>
    <n v="19010"/>
  </r>
  <r>
    <x v="891"/>
    <x v="240"/>
    <d v="2024-01-10T00:00:00"/>
    <x v="99"/>
    <x v="27"/>
    <n v="1"/>
    <n v="1161"/>
    <n v="15"/>
    <x v="2"/>
    <x v="2"/>
    <n v="1161"/>
    <n v="-16254"/>
    <n v="17415"/>
  </r>
  <r>
    <x v="892"/>
    <x v="241"/>
    <d v="2024-01-09T00:00:00"/>
    <x v="104"/>
    <x v="47"/>
    <n v="1"/>
    <n v="1670"/>
    <n v="10"/>
    <x v="2"/>
    <x v="0"/>
    <n v="1670"/>
    <n v="-15030"/>
    <n v="16700"/>
  </r>
  <r>
    <x v="893"/>
    <x v="112"/>
    <d v="2024-01-09T00:00:00"/>
    <x v="229"/>
    <x v="29"/>
    <n v="1"/>
    <n v="1038"/>
    <n v="15"/>
    <x v="1"/>
    <x v="1"/>
    <n v="1038"/>
    <n v="-14532"/>
    <n v="15570"/>
  </r>
  <r>
    <x v="894"/>
    <x v="114"/>
    <d v="2024-01-05T00:00:00"/>
    <x v="275"/>
    <x v="78"/>
    <n v="1"/>
    <n v="793"/>
    <n v="0"/>
    <x v="1"/>
    <x v="3"/>
    <n v="793"/>
    <n v="793"/>
    <n v="0"/>
  </r>
  <r>
    <x v="895"/>
    <x v="116"/>
    <d v="2024-01-11T00:00:00"/>
    <x v="138"/>
    <x v="44"/>
    <n v="1"/>
    <n v="310"/>
    <n v="0"/>
    <x v="0"/>
    <x v="2"/>
    <n v="310"/>
    <n v="310"/>
    <n v="0"/>
  </r>
  <r>
    <x v="896"/>
    <x v="301"/>
    <d v="2024-01-11T00:00:00"/>
    <x v="194"/>
    <x v="23"/>
    <n v="1"/>
    <n v="920"/>
    <n v="5"/>
    <x v="2"/>
    <x v="1"/>
    <n v="920"/>
    <n v="-3680"/>
    <n v="4600"/>
  </r>
  <r>
    <x v="897"/>
    <x v="301"/>
    <d v="2024-01-05T00:00:00"/>
    <x v="89"/>
    <x v="20"/>
    <n v="1"/>
    <n v="351"/>
    <n v="15"/>
    <x v="0"/>
    <x v="3"/>
    <n v="351"/>
    <n v="-4914"/>
    <n v="5265"/>
  </r>
  <r>
    <x v="898"/>
    <x v="117"/>
    <d v="2024-01-06T00:00:00"/>
    <x v="223"/>
    <x v="59"/>
    <n v="1"/>
    <n v="973"/>
    <n v="10"/>
    <x v="1"/>
    <x v="1"/>
    <n v="973"/>
    <n v="-8757"/>
    <n v="9730"/>
  </r>
  <r>
    <x v="899"/>
    <x v="120"/>
    <d v="2024-01-08T00:00:00"/>
    <x v="57"/>
    <x v="6"/>
    <n v="1"/>
    <n v="970"/>
    <n v="15"/>
    <x v="2"/>
    <x v="2"/>
    <n v="970"/>
    <n v="-13580"/>
    <n v="14550"/>
  </r>
  <r>
    <x v="900"/>
    <x v="242"/>
    <d v="2024-01-10T00:00:00"/>
    <x v="15"/>
    <x v="4"/>
    <n v="1"/>
    <n v="1735"/>
    <n v="5"/>
    <x v="2"/>
    <x v="2"/>
    <n v="1735"/>
    <n v="-6940"/>
    <n v="8675"/>
  </r>
  <r>
    <x v="901"/>
    <x v="332"/>
    <d v="2024-01-05T00:00:00"/>
    <x v="60"/>
    <x v="34"/>
    <n v="1"/>
    <n v="718"/>
    <n v="10"/>
    <x v="2"/>
    <x v="3"/>
    <n v="718"/>
    <n v="-6462"/>
    <n v="7180"/>
  </r>
  <r>
    <x v="902"/>
    <x v="332"/>
    <d v="2024-01-05T00:00:00"/>
    <x v="147"/>
    <x v="4"/>
    <n v="1"/>
    <n v="239"/>
    <n v="10"/>
    <x v="0"/>
    <x v="1"/>
    <n v="239"/>
    <n v="-2151"/>
    <n v="2390"/>
  </r>
  <r>
    <x v="903"/>
    <x v="303"/>
    <d v="2024-01-06T00:00:00"/>
    <x v="113"/>
    <x v="96"/>
    <n v="1"/>
    <n v="1105"/>
    <n v="15"/>
    <x v="0"/>
    <x v="3"/>
    <n v="1105"/>
    <n v="-15470"/>
    <n v="16575"/>
  </r>
  <r>
    <x v="904"/>
    <x v="304"/>
    <d v="2024-01-07T00:00:00"/>
    <x v="287"/>
    <x v="79"/>
    <n v="1"/>
    <n v="1043"/>
    <n v="0"/>
    <x v="3"/>
    <x v="3"/>
    <n v="1043"/>
    <n v="1043"/>
    <n v="0"/>
  </r>
  <r>
    <x v="905"/>
    <x v="305"/>
    <d v="2024-01-06T00:00:00"/>
    <x v="100"/>
    <x v="10"/>
    <n v="1"/>
    <n v="1505"/>
    <n v="15"/>
    <x v="0"/>
    <x v="1"/>
    <n v="1505"/>
    <n v="-21070"/>
    <n v="22575"/>
  </r>
  <r>
    <x v="906"/>
    <x v="305"/>
    <d v="2024-01-08T00:00:00"/>
    <x v="89"/>
    <x v="73"/>
    <n v="1"/>
    <n v="657"/>
    <n v="15"/>
    <x v="2"/>
    <x v="3"/>
    <n v="657"/>
    <n v="-9198"/>
    <n v="9855"/>
  </r>
  <r>
    <x v="907"/>
    <x v="244"/>
    <d v="2024-01-06T00:00:00"/>
    <x v="76"/>
    <x v="42"/>
    <n v="1"/>
    <n v="1076"/>
    <n v="15"/>
    <x v="3"/>
    <x v="0"/>
    <n v="1076"/>
    <n v="-15064"/>
    <n v="16140"/>
  </r>
  <r>
    <x v="908"/>
    <x v="122"/>
    <d v="2024-01-09T00:00:00"/>
    <x v="97"/>
    <x v="73"/>
    <n v="1"/>
    <n v="1778"/>
    <n v="5"/>
    <x v="1"/>
    <x v="2"/>
    <n v="1778"/>
    <n v="-7112"/>
    <n v="8890"/>
  </r>
  <r>
    <x v="909"/>
    <x v="122"/>
    <d v="2024-01-10T00:00:00"/>
    <x v="97"/>
    <x v="53"/>
    <n v="1"/>
    <n v="840"/>
    <n v="10"/>
    <x v="0"/>
    <x v="2"/>
    <n v="840"/>
    <n v="-7560"/>
    <n v="8400"/>
  </r>
  <r>
    <x v="910"/>
    <x v="123"/>
    <d v="2024-01-09T00:00:00"/>
    <x v="85"/>
    <x v="89"/>
    <n v="1"/>
    <n v="1111"/>
    <n v="0"/>
    <x v="1"/>
    <x v="0"/>
    <n v="1111"/>
    <n v="1111"/>
    <n v="0"/>
  </r>
  <r>
    <x v="911"/>
    <x v="245"/>
    <d v="2024-01-03T00:00:00"/>
    <x v="86"/>
    <x v="17"/>
    <n v="1"/>
    <n v="1369"/>
    <n v="0"/>
    <x v="3"/>
    <x v="2"/>
    <n v="1369"/>
    <n v="1369"/>
    <n v="0"/>
  </r>
  <r>
    <x v="912"/>
    <x v="333"/>
    <d v="2024-01-09T00:00:00"/>
    <x v="81"/>
    <x v="51"/>
    <n v="1"/>
    <n v="1912"/>
    <n v="10"/>
    <x v="1"/>
    <x v="0"/>
    <n v="1912"/>
    <n v="-17208"/>
    <n v="19120"/>
  </r>
  <r>
    <x v="913"/>
    <x v="333"/>
    <d v="2024-01-07T00:00:00"/>
    <x v="86"/>
    <x v="0"/>
    <n v="1"/>
    <n v="590"/>
    <n v="5"/>
    <x v="3"/>
    <x v="2"/>
    <n v="590"/>
    <n v="-2360"/>
    <n v="2950"/>
  </r>
  <r>
    <x v="914"/>
    <x v="246"/>
    <d v="2024-01-06T00:00:00"/>
    <x v="166"/>
    <x v="35"/>
    <n v="1"/>
    <n v="430"/>
    <n v="15"/>
    <x v="3"/>
    <x v="0"/>
    <n v="430"/>
    <n v="-6020"/>
    <n v="6450"/>
  </r>
  <r>
    <x v="915"/>
    <x v="124"/>
    <d v="2024-01-08T00:00:00"/>
    <x v="33"/>
    <x v="64"/>
    <n v="1"/>
    <n v="789"/>
    <n v="0"/>
    <x v="0"/>
    <x v="0"/>
    <n v="789"/>
    <n v="789"/>
    <n v="0"/>
  </r>
  <r>
    <x v="916"/>
    <x v="124"/>
    <d v="2024-01-07T00:00:00"/>
    <x v="271"/>
    <x v="24"/>
    <n v="1"/>
    <n v="791"/>
    <n v="15"/>
    <x v="1"/>
    <x v="2"/>
    <n v="791"/>
    <n v="-11074"/>
    <n v="11865"/>
  </r>
  <r>
    <x v="917"/>
    <x v="247"/>
    <d v="2024-01-08T00:00:00"/>
    <x v="76"/>
    <x v="29"/>
    <n v="1"/>
    <n v="1454"/>
    <n v="15"/>
    <x v="2"/>
    <x v="0"/>
    <n v="1454"/>
    <n v="-20356"/>
    <n v="21810"/>
  </r>
  <r>
    <x v="918"/>
    <x v="125"/>
    <d v="2024-01-03T00:00:00"/>
    <x v="266"/>
    <x v="83"/>
    <n v="1"/>
    <n v="1031"/>
    <n v="5"/>
    <x v="2"/>
    <x v="1"/>
    <n v="1031"/>
    <n v="-4124"/>
    <n v="5155"/>
  </r>
  <r>
    <x v="919"/>
    <x v="125"/>
    <d v="2024-01-06T00:00:00"/>
    <x v="125"/>
    <x v="14"/>
    <n v="1"/>
    <n v="346"/>
    <n v="0"/>
    <x v="3"/>
    <x v="3"/>
    <n v="346"/>
    <n v="346"/>
    <n v="0"/>
  </r>
  <r>
    <x v="920"/>
    <x v="125"/>
    <d v="2024-01-03T00:00:00"/>
    <x v="220"/>
    <x v="15"/>
    <n v="1"/>
    <n v="1461"/>
    <n v="10"/>
    <x v="2"/>
    <x v="2"/>
    <n v="1461"/>
    <n v="-13149"/>
    <n v="14610"/>
  </r>
  <r>
    <x v="921"/>
    <x v="125"/>
    <d v="2024-01-06T00:00:00"/>
    <x v="288"/>
    <x v="53"/>
    <n v="1"/>
    <n v="798"/>
    <n v="15"/>
    <x v="1"/>
    <x v="2"/>
    <n v="798"/>
    <n v="-11172"/>
    <n v="11970"/>
  </r>
  <r>
    <x v="922"/>
    <x v="125"/>
    <d v="2024-01-09T00:00:00"/>
    <x v="229"/>
    <x v="2"/>
    <n v="1"/>
    <n v="1332"/>
    <n v="15"/>
    <x v="2"/>
    <x v="3"/>
    <n v="1332"/>
    <n v="-18648"/>
    <n v="19980"/>
  </r>
  <r>
    <x v="923"/>
    <x v="127"/>
    <d v="2024-01-11T00:00:00"/>
    <x v="184"/>
    <x v="71"/>
    <n v="1"/>
    <n v="237"/>
    <n v="0"/>
    <x v="0"/>
    <x v="1"/>
    <n v="237"/>
    <n v="237"/>
    <n v="0"/>
  </r>
  <r>
    <x v="924"/>
    <x v="127"/>
    <d v="2024-01-10T00:00:00"/>
    <x v="9"/>
    <x v="2"/>
    <n v="1"/>
    <n v="1407"/>
    <n v="0"/>
    <x v="2"/>
    <x v="1"/>
    <n v="1407"/>
    <n v="1407"/>
    <n v="0"/>
  </r>
  <r>
    <x v="925"/>
    <x v="127"/>
    <d v="2024-01-05T00:00:00"/>
    <x v="289"/>
    <x v="71"/>
    <n v="1"/>
    <n v="482"/>
    <n v="10"/>
    <x v="2"/>
    <x v="2"/>
    <n v="482"/>
    <n v="-4338"/>
    <n v="4820"/>
  </r>
  <r>
    <x v="926"/>
    <x v="127"/>
    <d v="2024-01-11T00:00:00"/>
    <x v="103"/>
    <x v="10"/>
    <n v="1"/>
    <n v="1543"/>
    <n v="0"/>
    <x v="2"/>
    <x v="3"/>
    <n v="1543"/>
    <n v="1543"/>
    <n v="0"/>
  </r>
  <r>
    <x v="927"/>
    <x v="127"/>
    <d v="2024-01-03T00:00:00"/>
    <x v="285"/>
    <x v="28"/>
    <n v="1"/>
    <n v="310"/>
    <n v="0"/>
    <x v="2"/>
    <x v="3"/>
    <n v="310"/>
    <n v="310"/>
    <n v="0"/>
  </r>
  <r>
    <x v="928"/>
    <x v="334"/>
    <d v="2024-01-07T00:00:00"/>
    <x v="260"/>
    <x v="87"/>
    <n v="1"/>
    <n v="1373"/>
    <n v="5"/>
    <x v="1"/>
    <x v="1"/>
    <n v="1373"/>
    <n v="-5492"/>
    <n v="6865"/>
  </r>
  <r>
    <x v="929"/>
    <x v="334"/>
    <d v="2024-01-08T00:00:00"/>
    <x v="59"/>
    <x v="49"/>
    <n v="1"/>
    <n v="1307"/>
    <n v="15"/>
    <x v="1"/>
    <x v="1"/>
    <n v="1307"/>
    <n v="-18298"/>
    <n v="19605"/>
  </r>
  <r>
    <x v="930"/>
    <x v="335"/>
    <d v="2024-01-07T00:00:00"/>
    <x v="218"/>
    <x v="14"/>
    <n v="1"/>
    <n v="1646"/>
    <n v="15"/>
    <x v="3"/>
    <x v="0"/>
    <n v="1646"/>
    <n v="-23044"/>
    <n v="24690"/>
  </r>
  <r>
    <x v="931"/>
    <x v="128"/>
    <d v="2024-01-06T00:00:00"/>
    <x v="136"/>
    <x v="91"/>
    <n v="1"/>
    <n v="1054"/>
    <n v="15"/>
    <x v="2"/>
    <x v="2"/>
    <n v="1054"/>
    <n v="-14756"/>
    <n v="15810"/>
  </r>
  <r>
    <x v="932"/>
    <x v="250"/>
    <d v="2024-01-06T00:00:00"/>
    <x v="290"/>
    <x v="34"/>
    <n v="1"/>
    <n v="575"/>
    <n v="10"/>
    <x v="0"/>
    <x v="0"/>
    <n v="575"/>
    <n v="-5175"/>
    <n v="5750"/>
  </r>
  <r>
    <x v="933"/>
    <x v="250"/>
    <d v="2024-01-07T00:00:00"/>
    <x v="282"/>
    <x v="80"/>
    <n v="1"/>
    <n v="838"/>
    <n v="10"/>
    <x v="2"/>
    <x v="3"/>
    <n v="838"/>
    <n v="-7542"/>
    <n v="8380"/>
  </r>
  <r>
    <x v="934"/>
    <x v="130"/>
    <d v="2024-01-09T00:00:00"/>
    <x v="124"/>
    <x v="78"/>
    <n v="1"/>
    <n v="337"/>
    <n v="0"/>
    <x v="0"/>
    <x v="2"/>
    <n v="337"/>
    <n v="337"/>
    <n v="0"/>
  </r>
  <r>
    <x v="935"/>
    <x v="130"/>
    <d v="2024-01-05T00:00:00"/>
    <x v="22"/>
    <x v="30"/>
    <n v="1"/>
    <n v="297"/>
    <n v="10"/>
    <x v="3"/>
    <x v="1"/>
    <n v="297"/>
    <n v="-2673"/>
    <n v="2970"/>
  </r>
  <r>
    <x v="936"/>
    <x v="131"/>
    <d v="2024-01-05T00:00:00"/>
    <x v="166"/>
    <x v="5"/>
    <n v="1"/>
    <n v="1348"/>
    <n v="5"/>
    <x v="3"/>
    <x v="0"/>
    <n v="1348"/>
    <n v="-5392"/>
    <n v="6740"/>
  </r>
  <r>
    <x v="937"/>
    <x v="132"/>
    <d v="2024-01-04T00:00:00"/>
    <x v="29"/>
    <x v="92"/>
    <n v="1"/>
    <n v="449"/>
    <n v="0"/>
    <x v="1"/>
    <x v="2"/>
    <n v="449"/>
    <n v="449"/>
    <n v="0"/>
  </r>
  <r>
    <x v="938"/>
    <x v="336"/>
    <d v="2024-01-09T00:00:00"/>
    <x v="10"/>
    <x v="53"/>
    <n v="1"/>
    <n v="1283"/>
    <n v="15"/>
    <x v="3"/>
    <x v="2"/>
    <n v="1283"/>
    <n v="-17962"/>
    <n v="19245"/>
  </r>
  <r>
    <x v="939"/>
    <x v="337"/>
    <d v="2024-01-06T00:00:00"/>
    <x v="75"/>
    <x v="26"/>
    <n v="1"/>
    <n v="1635"/>
    <n v="5"/>
    <x v="2"/>
    <x v="2"/>
    <n v="1635"/>
    <n v="-6540"/>
    <n v="8175"/>
  </r>
  <r>
    <x v="940"/>
    <x v="309"/>
    <d v="2024-01-09T00:00:00"/>
    <x v="139"/>
    <x v="66"/>
    <n v="1"/>
    <n v="1994"/>
    <n v="15"/>
    <x v="2"/>
    <x v="1"/>
    <n v="1994"/>
    <n v="-27916"/>
    <n v="29910"/>
  </r>
  <r>
    <x v="941"/>
    <x v="309"/>
    <d v="2024-01-08T00:00:00"/>
    <x v="4"/>
    <x v="37"/>
    <n v="1"/>
    <n v="1902"/>
    <n v="0"/>
    <x v="2"/>
    <x v="2"/>
    <n v="1902"/>
    <n v="1902"/>
    <n v="0"/>
  </r>
  <r>
    <x v="942"/>
    <x v="309"/>
    <d v="2024-01-03T00:00:00"/>
    <x v="249"/>
    <x v="68"/>
    <n v="1"/>
    <n v="555"/>
    <n v="15"/>
    <x v="2"/>
    <x v="3"/>
    <n v="555"/>
    <n v="-7770"/>
    <n v="8325"/>
  </r>
  <r>
    <x v="943"/>
    <x v="142"/>
    <d v="2024-01-11T00:00:00"/>
    <x v="76"/>
    <x v="72"/>
    <n v="1"/>
    <n v="1084"/>
    <n v="0"/>
    <x v="1"/>
    <x v="3"/>
    <n v="1084"/>
    <n v="1084"/>
    <n v="0"/>
  </r>
  <r>
    <x v="944"/>
    <x v="143"/>
    <d v="2024-01-09T00:00:00"/>
    <x v="180"/>
    <x v="82"/>
    <n v="1"/>
    <n v="661"/>
    <n v="15"/>
    <x v="1"/>
    <x v="3"/>
    <n v="661"/>
    <n v="-9254"/>
    <n v="9915"/>
  </r>
  <r>
    <x v="945"/>
    <x v="310"/>
    <d v="2024-01-11T00:00:00"/>
    <x v="18"/>
    <x v="13"/>
    <n v="1"/>
    <n v="1784"/>
    <n v="0"/>
    <x v="2"/>
    <x v="3"/>
    <n v="1784"/>
    <n v="1784"/>
    <n v="0"/>
  </r>
  <r>
    <x v="946"/>
    <x v="338"/>
    <d v="2024-01-07T00:00:00"/>
    <x v="75"/>
    <x v="62"/>
    <n v="1"/>
    <n v="930"/>
    <n v="5"/>
    <x v="1"/>
    <x v="0"/>
    <n v="930"/>
    <n v="-3720"/>
    <n v="4650"/>
  </r>
  <r>
    <x v="947"/>
    <x v="338"/>
    <d v="2024-01-11T00:00:00"/>
    <x v="49"/>
    <x v="38"/>
    <n v="1"/>
    <n v="534"/>
    <n v="0"/>
    <x v="2"/>
    <x v="2"/>
    <n v="534"/>
    <n v="534"/>
    <n v="0"/>
  </r>
  <r>
    <x v="948"/>
    <x v="311"/>
    <d v="2024-01-03T00:00:00"/>
    <x v="170"/>
    <x v="25"/>
    <n v="1"/>
    <n v="629"/>
    <n v="15"/>
    <x v="3"/>
    <x v="3"/>
    <n v="629"/>
    <n v="-8806"/>
    <n v="9435"/>
  </r>
  <r>
    <x v="949"/>
    <x v="311"/>
    <d v="2024-01-04T00:00:00"/>
    <x v="267"/>
    <x v="73"/>
    <n v="1"/>
    <n v="410"/>
    <n v="0"/>
    <x v="3"/>
    <x v="3"/>
    <n v="410"/>
    <n v="410"/>
    <n v="0"/>
  </r>
  <r>
    <x v="950"/>
    <x v="146"/>
    <d v="2024-01-09T00:00:00"/>
    <x v="195"/>
    <x v="34"/>
    <n v="1"/>
    <n v="480"/>
    <n v="0"/>
    <x v="0"/>
    <x v="0"/>
    <n v="480"/>
    <n v="480"/>
    <n v="0"/>
  </r>
  <r>
    <x v="951"/>
    <x v="146"/>
    <d v="2024-01-05T00:00:00"/>
    <x v="197"/>
    <x v="74"/>
    <n v="1"/>
    <n v="1550"/>
    <n v="5"/>
    <x v="1"/>
    <x v="3"/>
    <n v="1550"/>
    <n v="-6200"/>
    <n v="7750"/>
  </r>
  <r>
    <x v="952"/>
    <x v="258"/>
    <d v="2024-01-08T00:00:00"/>
    <x v="228"/>
    <x v="60"/>
    <n v="1"/>
    <n v="380"/>
    <n v="10"/>
    <x v="1"/>
    <x v="0"/>
    <n v="380"/>
    <n v="-3420"/>
    <n v="3800"/>
  </r>
  <r>
    <x v="953"/>
    <x v="260"/>
    <d v="2024-01-08T00:00:00"/>
    <x v="142"/>
    <x v="87"/>
    <n v="1"/>
    <n v="706"/>
    <n v="0"/>
    <x v="0"/>
    <x v="1"/>
    <n v="706"/>
    <n v="706"/>
    <n v="0"/>
  </r>
  <r>
    <x v="954"/>
    <x v="147"/>
    <d v="2024-01-10T00:00:00"/>
    <x v="14"/>
    <x v="0"/>
    <n v="1"/>
    <n v="387"/>
    <n v="0"/>
    <x v="0"/>
    <x v="2"/>
    <n v="387"/>
    <n v="387"/>
    <n v="0"/>
  </r>
  <r>
    <x v="955"/>
    <x v="147"/>
    <d v="2024-01-11T00:00:00"/>
    <x v="130"/>
    <x v="18"/>
    <n v="1"/>
    <n v="487"/>
    <n v="15"/>
    <x v="0"/>
    <x v="0"/>
    <n v="487"/>
    <n v="-6818"/>
    <n v="7305"/>
  </r>
  <r>
    <x v="956"/>
    <x v="147"/>
    <d v="2024-01-04T00:00:00"/>
    <x v="98"/>
    <x v="77"/>
    <n v="1"/>
    <n v="770"/>
    <n v="10"/>
    <x v="1"/>
    <x v="1"/>
    <n v="770"/>
    <n v="-6930"/>
    <n v="7700"/>
  </r>
  <r>
    <x v="957"/>
    <x v="148"/>
    <d v="2024-01-10T00:00:00"/>
    <x v="56"/>
    <x v="87"/>
    <n v="1"/>
    <n v="584"/>
    <n v="0"/>
    <x v="3"/>
    <x v="3"/>
    <n v="584"/>
    <n v="584"/>
    <n v="0"/>
  </r>
  <r>
    <x v="958"/>
    <x v="148"/>
    <d v="2024-01-07T00:00:00"/>
    <x v="38"/>
    <x v="76"/>
    <n v="1"/>
    <n v="1916"/>
    <n v="15"/>
    <x v="1"/>
    <x v="1"/>
    <n v="1916"/>
    <n v="-26824"/>
    <n v="28740"/>
  </r>
  <r>
    <x v="959"/>
    <x v="262"/>
    <d v="2024-01-04T00:00:00"/>
    <x v="258"/>
    <x v="93"/>
    <n v="1"/>
    <n v="555"/>
    <n v="15"/>
    <x v="3"/>
    <x v="1"/>
    <n v="555"/>
    <n v="-7770"/>
    <n v="8325"/>
  </r>
  <r>
    <x v="960"/>
    <x v="262"/>
    <d v="2024-01-04T00:00:00"/>
    <x v="234"/>
    <x v="12"/>
    <n v="1"/>
    <n v="1468"/>
    <n v="15"/>
    <x v="2"/>
    <x v="1"/>
    <n v="1468"/>
    <n v="-20552"/>
    <n v="22020"/>
  </r>
  <r>
    <x v="961"/>
    <x v="151"/>
    <d v="2024-01-11T00:00:00"/>
    <x v="37"/>
    <x v="10"/>
    <n v="1"/>
    <n v="1316"/>
    <n v="5"/>
    <x v="1"/>
    <x v="2"/>
    <n v="1316"/>
    <n v="-5264"/>
    <n v="6580"/>
  </r>
  <r>
    <x v="962"/>
    <x v="152"/>
    <d v="2024-01-07T00:00:00"/>
    <x v="140"/>
    <x v="6"/>
    <n v="1"/>
    <n v="261"/>
    <n v="10"/>
    <x v="1"/>
    <x v="1"/>
    <n v="261"/>
    <n v="-2349"/>
    <n v="2610"/>
  </r>
  <r>
    <x v="963"/>
    <x v="263"/>
    <d v="2024-01-10T00:00:00"/>
    <x v="96"/>
    <x v="41"/>
    <n v="1"/>
    <n v="1858"/>
    <n v="5"/>
    <x v="0"/>
    <x v="1"/>
    <n v="1858"/>
    <n v="-7432"/>
    <n v="9290"/>
  </r>
  <r>
    <x v="964"/>
    <x v="263"/>
    <d v="2024-01-08T00:00:00"/>
    <x v="103"/>
    <x v="54"/>
    <n v="1"/>
    <n v="789"/>
    <n v="0"/>
    <x v="1"/>
    <x v="0"/>
    <n v="789"/>
    <n v="789"/>
    <n v="0"/>
  </r>
  <r>
    <x v="965"/>
    <x v="263"/>
    <d v="2024-01-11T00:00:00"/>
    <x v="120"/>
    <x v="52"/>
    <n v="1"/>
    <n v="1822"/>
    <n v="0"/>
    <x v="3"/>
    <x v="0"/>
    <n v="1822"/>
    <n v="1822"/>
    <n v="0"/>
  </r>
  <r>
    <x v="966"/>
    <x v="153"/>
    <d v="2024-01-10T00:00:00"/>
    <x v="102"/>
    <x v="83"/>
    <n v="1"/>
    <n v="358"/>
    <n v="5"/>
    <x v="1"/>
    <x v="0"/>
    <n v="358"/>
    <n v="-1432"/>
    <n v="1790"/>
  </r>
  <r>
    <x v="967"/>
    <x v="313"/>
    <d v="2024-01-06T00:00:00"/>
    <x v="25"/>
    <x v="17"/>
    <n v="1"/>
    <n v="1495"/>
    <n v="0"/>
    <x v="2"/>
    <x v="3"/>
    <n v="1495"/>
    <n v="1495"/>
    <n v="0"/>
  </r>
  <r>
    <x v="968"/>
    <x v="155"/>
    <d v="2024-01-09T00:00:00"/>
    <x v="275"/>
    <x v="57"/>
    <n v="1"/>
    <n v="1016"/>
    <n v="0"/>
    <x v="2"/>
    <x v="3"/>
    <n v="1016"/>
    <n v="1016"/>
    <n v="0"/>
  </r>
  <r>
    <x v="969"/>
    <x v="156"/>
    <d v="2024-01-08T00:00:00"/>
    <x v="10"/>
    <x v="17"/>
    <n v="1"/>
    <n v="465"/>
    <n v="15"/>
    <x v="1"/>
    <x v="2"/>
    <n v="465"/>
    <n v="-6510"/>
    <n v="6975"/>
  </r>
  <r>
    <x v="970"/>
    <x v="314"/>
    <d v="2024-01-05T00:00:00"/>
    <x v="21"/>
    <x v="94"/>
    <n v="1"/>
    <n v="665"/>
    <n v="10"/>
    <x v="1"/>
    <x v="0"/>
    <n v="665"/>
    <n v="-5985"/>
    <n v="6650"/>
  </r>
  <r>
    <x v="971"/>
    <x v="264"/>
    <d v="2024-01-07T00:00:00"/>
    <x v="290"/>
    <x v="55"/>
    <n v="1"/>
    <n v="1830"/>
    <n v="10"/>
    <x v="3"/>
    <x v="3"/>
    <n v="1830"/>
    <n v="-16470"/>
    <n v="18300"/>
  </r>
  <r>
    <x v="972"/>
    <x v="264"/>
    <d v="2024-01-04T00:00:00"/>
    <x v="11"/>
    <x v="23"/>
    <n v="1"/>
    <n v="1255"/>
    <n v="5"/>
    <x v="2"/>
    <x v="2"/>
    <n v="1255"/>
    <n v="-5020"/>
    <n v="6275"/>
  </r>
  <r>
    <x v="973"/>
    <x v="339"/>
    <d v="2024-01-09T00:00:00"/>
    <x v="57"/>
    <x v="20"/>
    <n v="1"/>
    <n v="904"/>
    <n v="10"/>
    <x v="1"/>
    <x v="2"/>
    <n v="904"/>
    <n v="-8136"/>
    <n v="9040"/>
  </r>
  <r>
    <x v="974"/>
    <x v="158"/>
    <d v="2024-01-11T00:00:00"/>
    <x v="149"/>
    <x v="4"/>
    <n v="1"/>
    <n v="648"/>
    <n v="10"/>
    <x v="2"/>
    <x v="2"/>
    <n v="648"/>
    <n v="-5832"/>
    <n v="6480"/>
  </r>
  <r>
    <x v="975"/>
    <x v="160"/>
    <d v="2024-01-04T00:00:00"/>
    <x v="61"/>
    <x v="9"/>
    <n v="1"/>
    <n v="1979"/>
    <n v="0"/>
    <x v="3"/>
    <x v="3"/>
    <n v="1979"/>
    <n v="1979"/>
    <n v="0"/>
  </r>
  <r>
    <x v="976"/>
    <x v="161"/>
    <d v="2024-01-09T00:00:00"/>
    <x v="280"/>
    <x v="31"/>
    <n v="1"/>
    <n v="1460"/>
    <n v="15"/>
    <x v="3"/>
    <x v="1"/>
    <n v="1460"/>
    <n v="-20440"/>
    <n v="21900"/>
  </r>
  <r>
    <x v="977"/>
    <x v="161"/>
    <d v="2024-01-08T00:00:00"/>
    <x v="161"/>
    <x v="12"/>
    <n v="1"/>
    <n v="1823"/>
    <n v="0"/>
    <x v="0"/>
    <x v="0"/>
    <n v="1823"/>
    <n v="1823"/>
    <n v="0"/>
  </r>
  <r>
    <x v="978"/>
    <x v="265"/>
    <d v="2024-01-04T00:00:00"/>
    <x v="248"/>
    <x v="64"/>
    <n v="1"/>
    <n v="1927"/>
    <n v="15"/>
    <x v="2"/>
    <x v="2"/>
    <n v="1927"/>
    <n v="-26978"/>
    <n v="28905"/>
  </r>
  <r>
    <x v="979"/>
    <x v="162"/>
    <d v="2024-01-09T00:00:00"/>
    <x v="272"/>
    <x v="46"/>
    <n v="1"/>
    <n v="1701"/>
    <n v="15"/>
    <x v="2"/>
    <x v="3"/>
    <n v="1701"/>
    <n v="-23814"/>
    <n v="25515"/>
  </r>
  <r>
    <x v="980"/>
    <x v="162"/>
    <d v="2024-01-08T00:00:00"/>
    <x v="118"/>
    <x v="52"/>
    <n v="1"/>
    <n v="934"/>
    <n v="15"/>
    <x v="1"/>
    <x v="1"/>
    <n v="934"/>
    <n v="-13076"/>
    <n v="14010"/>
  </r>
  <r>
    <x v="981"/>
    <x v="162"/>
    <d v="2024-01-03T00:00:00"/>
    <x v="66"/>
    <x v="74"/>
    <n v="1"/>
    <n v="341"/>
    <n v="5"/>
    <x v="3"/>
    <x v="3"/>
    <n v="341"/>
    <n v="-1364"/>
    <n v="1705"/>
  </r>
  <r>
    <x v="982"/>
    <x v="163"/>
    <d v="2024-01-04T00:00:00"/>
    <x v="70"/>
    <x v="18"/>
    <n v="1"/>
    <n v="1422"/>
    <n v="10"/>
    <x v="1"/>
    <x v="0"/>
    <n v="1422"/>
    <n v="-12798"/>
    <n v="14220"/>
  </r>
  <r>
    <x v="983"/>
    <x v="163"/>
    <d v="2024-01-05T00:00:00"/>
    <x v="126"/>
    <x v="70"/>
    <n v="1"/>
    <n v="692"/>
    <n v="0"/>
    <x v="1"/>
    <x v="0"/>
    <n v="692"/>
    <n v="692"/>
    <n v="0"/>
  </r>
  <r>
    <x v="984"/>
    <x v="163"/>
    <d v="2024-01-06T00:00:00"/>
    <x v="94"/>
    <x v="81"/>
    <n v="1"/>
    <n v="1836"/>
    <n v="15"/>
    <x v="0"/>
    <x v="0"/>
    <n v="1836"/>
    <n v="-25704"/>
    <n v="27540"/>
  </r>
  <r>
    <x v="985"/>
    <x v="266"/>
    <d v="2024-01-10T00:00:00"/>
    <x v="56"/>
    <x v="53"/>
    <n v="1"/>
    <n v="1934"/>
    <n v="15"/>
    <x v="3"/>
    <x v="0"/>
    <n v="1934"/>
    <n v="-27076"/>
    <n v="29010"/>
  </r>
  <r>
    <x v="986"/>
    <x v="266"/>
    <d v="2024-01-05T00:00:00"/>
    <x v="21"/>
    <x v="28"/>
    <n v="1"/>
    <n v="1513"/>
    <n v="10"/>
    <x v="0"/>
    <x v="1"/>
    <n v="1513"/>
    <n v="-13617"/>
    <n v="15130"/>
  </r>
  <r>
    <x v="987"/>
    <x v="164"/>
    <d v="2024-01-06T00:00:00"/>
    <x v="283"/>
    <x v="53"/>
    <n v="1"/>
    <n v="1277"/>
    <n v="5"/>
    <x v="2"/>
    <x v="3"/>
    <n v="1277"/>
    <n v="-5108"/>
    <n v="6385"/>
  </r>
  <r>
    <x v="988"/>
    <x v="267"/>
    <d v="2024-01-11T00:00:00"/>
    <x v="12"/>
    <x v="69"/>
    <n v="1"/>
    <n v="770"/>
    <n v="5"/>
    <x v="0"/>
    <x v="2"/>
    <n v="770"/>
    <n v="-3080"/>
    <n v="3850"/>
  </r>
  <r>
    <x v="989"/>
    <x v="165"/>
    <d v="2024-01-09T00:00:00"/>
    <x v="54"/>
    <x v="60"/>
    <n v="1"/>
    <n v="837"/>
    <n v="5"/>
    <x v="2"/>
    <x v="3"/>
    <n v="837"/>
    <n v="-3348"/>
    <n v="4185"/>
  </r>
  <r>
    <x v="990"/>
    <x v="167"/>
    <d v="2024-01-09T00:00:00"/>
    <x v="102"/>
    <x v="72"/>
    <n v="1"/>
    <n v="1043"/>
    <n v="10"/>
    <x v="0"/>
    <x v="1"/>
    <n v="1043"/>
    <n v="-9387"/>
    <n v="10430"/>
  </r>
  <r>
    <x v="991"/>
    <x v="169"/>
    <d v="2024-01-09T00:00:00"/>
    <x v="141"/>
    <x v="76"/>
    <n v="1"/>
    <n v="718"/>
    <n v="0"/>
    <x v="0"/>
    <x v="0"/>
    <n v="718"/>
    <n v="718"/>
    <n v="0"/>
  </r>
  <r>
    <x v="992"/>
    <x v="170"/>
    <d v="2024-01-06T00:00:00"/>
    <x v="204"/>
    <x v="73"/>
    <n v="1"/>
    <n v="915"/>
    <n v="0"/>
    <x v="0"/>
    <x v="2"/>
    <n v="915"/>
    <n v="915"/>
    <n v="0"/>
  </r>
  <r>
    <x v="993"/>
    <x v="315"/>
    <d v="2024-01-11T00:00:00"/>
    <x v="48"/>
    <x v="43"/>
    <n v="1"/>
    <n v="211"/>
    <n v="15"/>
    <x v="0"/>
    <x v="0"/>
    <n v="211"/>
    <n v="-2954"/>
    <n v="3165"/>
  </r>
  <r>
    <x v="994"/>
    <x v="315"/>
    <d v="2024-01-05T00:00:00"/>
    <x v="123"/>
    <x v="8"/>
    <n v="1"/>
    <n v="810"/>
    <n v="15"/>
    <x v="2"/>
    <x v="1"/>
    <n v="810"/>
    <n v="-11340"/>
    <n v="12150"/>
  </r>
  <r>
    <x v="995"/>
    <x v="172"/>
    <d v="2024-01-05T00:00:00"/>
    <x v="158"/>
    <x v="52"/>
    <n v="1"/>
    <n v="1299"/>
    <n v="10"/>
    <x v="2"/>
    <x v="2"/>
    <n v="1299"/>
    <n v="-11691"/>
    <n v="12990"/>
  </r>
  <r>
    <x v="996"/>
    <x v="173"/>
    <d v="2024-01-04T00:00:00"/>
    <x v="165"/>
    <x v="22"/>
    <n v="1"/>
    <n v="1561"/>
    <n v="10"/>
    <x v="3"/>
    <x v="2"/>
    <n v="1561"/>
    <n v="-14049"/>
    <n v="15610"/>
  </r>
  <r>
    <x v="997"/>
    <x v="271"/>
    <d v="2024-01-06T00:00:00"/>
    <x v="115"/>
    <x v="3"/>
    <n v="1"/>
    <n v="1193"/>
    <n v="5"/>
    <x v="3"/>
    <x v="2"/>
    <n v="1193"/>
    <n v="-4772"/>
    <n v="5965"/>
  </r>
  <r>
    <x v="998"/>
    <x v="271"/>
    <d v="2024-01-10T00:00:00"/>
    <x v="137"/>
    <x v="78"/>
    <n v="1"/>
    <n v="469"/>
    <n v="15"/>
    <x v="0"/>
    <x v="1"/>
    <n v="469"/>
    <n v="-6566"/>
    <n v="7035"/>
  </r>
  <r>
    <x v="999"/>
    <x v="176"/>
    <d v="2024-01-04T00:00:00"/>
    <x v="35"/>
    <x v="48"/>
    <n v="1"/>
    <n v="1838"/>
    <n v="10"/>
    <x v="3"/>
    <x v="1"/>
    <n v="1838"/>
    <n v="-16542"/>
    <n v="183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85D02-920A-284B-8036-A7B4E7A4E2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9" firstHeaderRow="1" firstDataRow="1" firstDataCol="1"/>
  <pivotFields count="15">
    <pivotField showAll="0">
      <items count="1001">
        <item x="935"/>
        <item x="413"/>
        <item x="703"/>
        <item x="228"/>
        <item x="923"/>
        <item x="50"/>
        <item x="245"/>
        <item x="631"/>
        <item x="964"/>
        <item x="331"/>
        <item x="721"/>
        <item x="424"/>
        <item x="184"/>
        <item x="411"/>
        <item x="74"/>
        <item x="550"/>
        <item x="393"/>
        <item x="159"/>
        <item x="36"/>
        <item x="873"/>
        <item x="818"/>
        <item x="954"/>
        <item x="432"/>
        <item x="1"/>
        <item x="314"/>
        <item x="466"/>
        <item x="687"/>
        <item x="83"/>
        <item x="310"/>
        <item x="820"/>
        <item x="494"/>
        <item x="523"/>
        <item x="593"/>
        <item x="139"/>
        <item x="955"/>
        <item x="856"/>
        <item x="539"/>
        <item x="315"/>
        <item x="736"/>
        <item x="461"/>
        <item x="69"/>
        <item x="641"/>
        <item x="104"/>
        <item x="147"/>
        <item x="243"/>
        <item x="110"/>
        <item x="773"/>
        <item x="912"/>
        <item x="806"/>
        <item x="637"/>
        <item x="748"/>
        <item x="942"/>
        <item x="535"/>
        <item x="899"/>
        <item x="332"/>
        <item x="682"/>
        <item x="531"/>
        <item x="204"/>
        <item x="379"/>
        <item x="949"/>
        <item x="408"/>
        <item x="233"/>
        <item x="367"/>
        <item x="45"/>
        <item x="158"/>
        <item x="751"/>
        <item x="745"/>
        <item x="621"/>
        <item x="484"/>
        <item x="382"/>
        <item x="993"/>
        <item x="392"/>
        <item x="517"/>
        <item x="752"/>
        <item x="537"/>
        <item x="111"/>
        <item x="727"/>
        <item x="824"/>
        <item x="155"/>
        <item x="769"/>
        <item x="869"/>
        <item x="563"/>
        <item x="946"/>
        <item x="590"/>
        <item x="925"/>
        <item x="319"/>
        <item x="67"/>
        <item x="695"/>
        <item x="592"/>
        <item x="520"/>
        <item x="151"/>
        <item x="556"/>
        <item x="17"/>
        <item x="830"/>
        <item x="143"/>
        <item x="503"/>
        <item x="208"/>
        <item x="700"/>
        <item x="789"/>
        <item x="381"/>
        <item x="195"/>
        <item x="303"/>
        <item x="10"/>
        <item x="189"/>
        <item x="685"/>
        <item x="744"/>
        <item x="430"/>
        <item x="369"/>
        <item x="372"/>
        <item x="901"/>
        <item x="384"/>
        <item x="870"/>
        <item x="459"/>
        <item x="123"/>
        <item x="693"/>
        <item x="665"/>
        <item x="905"/>
        <item x="681"/>
        <item x="774"/>
        <item x="807"/>
        <item x="540"/>
        <item x="333"/>
        <item x="508"/>
        <item x="267"/>
        <item x="348"/>
        <item x="305"/>
        <item x="991"/>
        <item x="23"/>
        <item x="48"/>
        <item x="674"/>
        <item x="420"/>
        <item x="988"/>
        <item x="53"/>
        <item x="646"/>
        <item x="804"/>
        <item x="90"/>
        <item x="12"/>
        <item x="477"/>
        <item x="514"/>
        <item x="61"/>
        <item x="794"/>
        <item x="8"/>
        <item x="897"/>
        <item x="262"/>
        <item x="597"/>
        <item x="249"/>
        <item x="924"/>
        <item x="261"/>
        <item x="521"/>
        <item x="257"/>
        <item x="32"/>
        <item x="625"/>
        <item x="328"/>
        <item x="525"/>
        <item x="316"/>
        <item x="645"/>
        <item x="297"/>
        <item x="857"/>
        <item x="144"/>
        <item x="677"/>
        <item x="544"/>
        <item x="741"/>
        <item x="160"/>
        <item x="142"/>
        <item x="362"/>
        <item x="967"/>
        <item x="754"/>
        <item x="831"/>
        <item x="313"/>
        <item x="467"/>
        <item x="107"/>
        <item x="977"/>
        <item x="279"/>
        <item x="910"/>
        <item x="198"/>
        <item x="822"/>
        <item x="301"/>
        <item x="360"/>
        <item x="658"/>
        <item x="879"/>
        <item x="571"/>
        <item x="242"/>
        <item x="141"/>
        <item x="428"/>
        <item x="70"/>
        <item x="838"/>
        <item x="80"/>
        <item x="202"/>
        <item x="199"/>
        <item x="632"/>
        <item x="552"/>
        <item x="972"/>
        <item x="341"/>
        <item x="749"/>
        <item x="114"/>
        <item x="872"/>
        <item x="18"/>
        <item x="500"/>
        <item x="705"/>
        <item x="797"/>
        <item x="326"/>
        <item x="188"/>
        <item x="790"/>
        <item x="719"/>
        <item x="714"/>
        <item x="640"/>
        <item x="351"/>
        <item x="3"/>
        <item x="560"/>
        <item x="394"/>
        <item x="510"/>
        <item x="582"/>
        <item x="13"/>
        <item x="814"/>
        <item x="152"/>
        <item x="169"/>
        <item x="706"/>
        <item x="725"/>
        <item x="728"/>
        <item x="833"/>
        <item x="809"/>
        <item x="234"/>
        <item x="763"/>
        <item x="848"/>
        <item x="338"/>
        <item x="598"/>
        <item x="978"/>
        <item x="724"/>
        <item x="602"/>
        <item x="347"/>
        <item x="583"/>
        <item x="409"/>
        <item x="205"/>
        <item x="96"/>
        <item x="176"/>
        <item x="585"/>
        <item x="85"/>
        <item x="506"/>
        <item x="294"/>
        <item x="324"/>
        <item x="76"/>
        <item x="186"/>
        <item x="611"/>
        <item x="292"/>
        <item x="166"/>
        <item x="137"/>
        <item x="311"/>
        <item x="57"/>
        <item x="350"/>
        <item x="388"/>
        <item x="172"/>
        <item x="365"/>
        <item x="793"/>
        <item x="958"/>
        <item x="636"/>
        <item x="519"/>
        <item x="709"/>
        <item x="283"/>
        <item x="266"/>
        <item x="336"/>
        <item x="708"/>
        <item x="235"/>
        <item x="321"/>
        <item x="122"/>
        <item x="837"/>
        <item x="209"/>
        <item x="68"/>
        <item x="588"/>
        <item x="513"/>
        <item x="767"/>
        <item x="584"/>
        <item x="849"/>
        <item x="270"/>
        <item x="951"/>
        <item x="623"/>
        <item x="218"/>
        <item x="953"/>
        <item x="827"/>
        <item x="740"/>
        <item x="756"/>
        <item x="458"/>
        <item x="647"/>
        <item x="253"/>
        <item x="509"/>
        <item x="919"/>
        <item x="757"/>
        <item x="302"/>
        <item x="192"/>
        <item x="128"/>
        <item x="399"/>
        <item x="813"/>
        <item x="177"/>
        <item x="286"/>
        <item x="164"/>
        <item x="680"/>
        <item x="997"/>
        <item x="473"/>
        <item x="178"/>
        <item x="346"/>
        <item x="858"/>
        <item x="880"/>
        <item x="634"/>
        <item x="669"/>
        <item x="900"/>
        <item x="446"/>
        <item x="214"/>
        <item x="661"/>
        <item x="533"/>
        <item x="664"/>
        <item x="289"/>
        <item x="183"/>
        <item x="956"/>
        <item x="443"/>
        <item x="655"/>
        <item x="237"/>
        <item x="327"/>
        <item x="182"/>
        <item x="868"/>
        <item x="881"/>
        <item x="890"/>
        <item x="850"/>
        <item x="667"/>
        <item x="39"/>
        <item x="46"/>
        <item x="457"/>
        <item x="456"/>
        <item x="859"/>
        <item x="920"/>
        <item x="437"/>
        <item x="612"/>
        <item x="561"/>
        <item x="787"/>
        <item x="704"/>
        <item x="841"/>
        <item x="675"/>
        <item x="884"/>
        <item x="957"/>
        <item x="79"/>
        <item x="241"/>
        <item x="126"/>
        <item x="578"/>
        <item x="605"/>
        <item x="25"/>
        <item x="427"/>
        <item x="370"/>
        <item x="203"/>
        <item x="538"/>
        <item x="216"/>
        <item x="138"/>
        <item x="4"/>
        <item x="387"/>
        <item x="587"/>
        <item x="454"/>
        <item x="861"/>
        <item x="843"/>
        <item x="718"/>
        <item x="620"/>
        <item x="772"/>
        <item x="961"/>
        <item x="75"/>
        <item x="21"/>
        <item x="109"/>
        <item x="334"/>
        <item x="575"/>
        <item x="866"/>
        <item x="974"/>
        <item x="304"/>
        <item x="867"/>
        <item x="726"/>
        <item x="19"/>
        <item x="98"/>
        <item x="156"/>
        <item x="548"/>
        <item x="31"/>
        <item x="117"/>
        <item x="516"/>
        <item x="684"/>
        <item x="549"/>
        <item x="442"/>
        <item x="545"/>
        <item x="761"/>
        <item x="403"/>
        <item x="60"/>
        <item x="472"/>
        <item x="783"/>
        <item x="713"/>
        <item x="404"/>
        <item x="668"/>
        <item x="530"/>
        <item x="402"/>
        <item x="26"/>
        <item x="361"/>
        <item x="378"/>
        <item x="498"/>
        <item x="911"/>
        <item x="92"/>
        <item x="100"/>
        <item x="455"/>
        <item x="847"/>
        <item x="154"/>
        <item x="146"/>
        <item x="105"/>
        <item x="896"/>
        <item x="497"/>
        <item x="746"/>
        <item x="886"/>
        <item x="888"/>
        <item x="193"/>
        <item x="56"/>
        <item x="130"/>
        <item x="707"/>
        <item x="444"/>
        <item x="247"/>
        <item x="407"/>
        <item x="307"/>
        <item x="828"/>
        <item x="414"/>
        <item x="601"/>
        <item x="179"/>
        <item x="732"/>
        <item x="999"/>
        <item x="343"/>
        <item x="529"/>
        <item x="95"/>
        <item x="673"/>
        <item x="269"/>
        <item x="78"/>
        <item x="717"/>
        <item x="626"/>
        <item x="944"/>
        <item x="145"/>
        <item x="618"/>
        <item x="862"/>
        <item x="996"/>
        <item x="150"/>
        <item x="982"/>
        <item x="329"/>
        <item x="9"/>
        <item x="779"/>
        <item x="663"/>
        <item x="423"/>
        <item x="448"/>
        <item x="798"/>
        <item x="265"/>
        <item x="600"/>
        <item x="615"/>
        <item x="570"/>
        <item x="589"/>
        <item x="990"/>
        <item x="187"/>
        <item x="464"/>
        <item x="596"/>
        <item x="832"/>
        <item x="102"/>
        <item x="115"/>
        <item x="981"/>
        <item x="368"/>
        <item x="777"/>
        <item x="417"/>
        <item x="694"/>
        <item x="436"/>
        <item x="325"/>
        <item x="281"/>
        <item x="971"/>
        <item x="834"/>
        <item x="643"/>
        <item x="555"/>
        <item x="930"/>
        <item x="808"/>
        <item x="230"/>
        <item x="72"/>
        <item x="167"/>
        <item x="815"/>
        <item x="606"/>
        <item x="507"/>
        <item x="277"/>
        <item x="366"/>
        <item x="374"/>
        <item x="595"/>
        <item x="840"/>
        <item x="469"/>
        <item x="371"/>
        <item x="679"/>
        <item x="670"/>
        <item x="116"/>
        <item x="985"/>
        <item x="987"/>
        <item x="148"/>
        <item x="280"/>
        <item x="354"/>
        <item x="758"/>
        <item x="16"/>
        <item x="220"/>
        <item x="66"/>
        <item x="878"/>
        <item x="505"/>
        <item x="662"/>
        <item x="171"/>
        <item x="812"/>
        <item x="300"/>
        <item x="376"/>
        <item x="389"/>
        <item x="140"/>
        <item x="591"/>
        <item x="871"/>
        <item x="877"/>
        <item x="386"/>
        <item x="22"/>
        <item x="737"/>
        <item x="690"/>
        <item x="251"/>
        <item x="712"/>
        <item x="943"/>
        <item x="839"/>
        <item x="149"/>
        <item x="522"/>
        <item x="194"/>
        <item x="565"/>
        <item x="660"/>
        <item x="373"/>
        <item x="960"/>
        <item x="624"/>
        <item x="30"/>
        <item x="162"/>
        <item x="608"/>
        <item x="353"/>
        <item x="2"/>
        <item x="221"/>
        <item x="518"/>
        <item x="339"/>
        <item x="391"/>
        <item x="481"/>
        <item x="629"/>
        <item x="422"/>
        <item x="917"/>
        <item x="113"/>
        <item x="191"/>
        <item x="599"/>
        <item x="932"/>
        <item x="438"/>
        <item x="489"/>
        <item x="170"/>
        <item x="460"/>
        <item x="603"/>
        <item x="196"/>
        <item x="412"/>
        <item x="213"/>
        <item x="103"/>
        <item x="222"/>
        <item x="434"/>
        <item x="656"/>
        <item x="439"/>
        <item x="210"/>
        <item x="782"/>
        <item x="451"/>
        <item x="652"/>
        <item x="742"/>
        <item x="99"/>
        <item x="743"/>
        <item x="702"/>
        <item x="916"/>
        <item x="37"/>
        <item x="986"/>
        <item x="635"/>
        <item x="918"/>
        <item x="760"/>
        <item x="81"/>
        <item x="401"/>
        <item x="672"/>
        <item x="580"/>
        <item x="768"/>
        <item x="38"/>
        <item x="711"/>
        <item x="607"/>
        <item x="118"/>
        <item x="308"/>
        <item x="433"/>
        <item x="11"/>
        <item x="657"/>
        <item x="791"/>
        <item x="129"/>
        <item x="627"/>
        <item x="893"/>
        <item x="15"/>
        <item x="697"/>
        <item x="903"/>
        <item x="491"/>
        <item x="44"/>
        <item x="475"/>
        <item x="915"/>
        <item x="604"/>
        <item x="84"/>
        <item x="966"/>
        <item x="215"/>
        <item x="470"/>
        <item x="197"/>
        <item x="542"/>
        <item x="826"/>
        <item x="845"/>
        <item x="569"/>
        <item x="5"/>
        <item x="928"/>
        <item x="288"/>
        <item x="462"/>
        <item x="568"/>
        <item x="617"/>
        <item x="784"/>
        <item x="64"/>
        <item x="168"/>
        <item x="165"/>
        <item x="648"/>
        <item x="7"/>
        <item x="323"/>
        <item x="913"/>
        <item x="101"/>
        <item x="698"/>
        <item x="653"/>
        <item x="49"/>
        <item x="863"/>
        <item x="907"/>
        <item x="398"/>
        <item x="342"/>
        <item x="299"/>
        <item x="846"/>
        <item x="112"/>
        <item x="287"/>
        <item x="836"/>
        <item x="938"/>
        <item x="979"/>
        <item x="487"/>
        <item x="908"/>
        <item x="224"/>
        <item x="28"/>
        <item x="486"/>
        <item x="968"/>
        <item x="254"/>
        <item x="291"/>
        <item x="27"/>
        <item x="722"/>
        <item x="914"/>
        <item x="609"/>
        <item x="701"/>
        <item x="429"/>
        <item x="390"/>
        <item x="671"/>
        <item x="594"/>
        <item x="659"/>
        <item x="613"/>
        <item x="975"/>
        <item x="558"/>
        <item x="207"/>
        <item x="882"/>
        <item x="225"/>
        <item x="86"/>
        <item x="802"/>
        <item x="904"/>
        <item x="435"/>
        <item x="124"/>
        <item x="488"/>
        <item x="452"/>
        <item x="6"/>
        <item x="865"/>
        <item x="691"/>
        <item x="246"/>
        <item x="526"/>
        <item x="534"/>
        <item x="983"/>
        <item x="108"/>
        <item x="135"/>
        <item x="174"/>
        <item x="821"/>
        <item x="258"/>
        <item x="418"/>
        <item x="268"/>
        <item x="894"/>
        <item x="770"/>
        <item x="73"/>
        <item x="359"/>
        <item x="400"/>
        <item x="922"/>
        <item x="816"/>
        <item x="485"/>
        <item x="296"/>
        <item x="796"/>
        <item x="998"/>
        <item x="244"/>
        <item x="493"/>
        <item x="852"/>
        <item x="676"/>
        <item x="416"/>
        <item x="239"/>
        <item x="581"/>
        <item x="889"/>
        <item x="892"/>
        <item x="133"/>
        <item x="780"/>
        <item x="453"/>
        <item x="125"/>
        <item x="465"/>
        <item x="175"/>
        <item x="93"/>
        <item x="91"/>
        <item x="616"/>
        <item x="349"/>
        <item x="263"/>
        <item x="586"/>
        <item x="512"/>
        <item x="786"/>
        <item x="33"/>
        <item x="363"/>
        <item x="734"/>
        <item x="976"/>
        <item x="106"/>
        <item x="271"/>
        <item x="775"/>
        <item x="200"/>
        <item x="463"/>
        <item x="842"/>
        <item x="566"/>
        <item x="317"/>
        <item x="40"/>
        <item x="543"/>
        <item x="405"/>
        <item x="377"/>
        <item x="295"/>
        <item x="358"/>
        <item x="666"/>
        <item x="330"/>
        <item x="989"/>
        <item x="471"/>
        <item x="55"/>
        <item x="340"/>
        <item x="536"/>
        <item x="421"/>
        <item x="322"/>
        <item x="255"/>
        <item x="980"/>
        <item x="926"/>
        <item x="431"/>
        <item x="572"/>
        <item x="547"/>
        <item x="312"/>
        <item x="380"/>
        <item x="397"/>
        <item x="559"/>
        <item x="345"/>
        <item x="425"/>
        <item x="34"/>
        <item x="212"/>
        <item x="282"/>
        <item x="628"/>
        <item x="309"/>
        <item x="795"/>
        <item x="551"/>
        <item x="276"/>
        <item x="406"/>
        <item x="654"/>
        <item x="644"/>
        <item x="853"/>
        <item x="131"/>
        <item x="504"/>
        <item x="573"/>
        <item x="887"/>
        <item x="940"/>
        <item x="750"/>
        <item x="689"/>
        <item x="355"/>
        <item x="248"/>
        <item x="948"/>
        <item x="921"/>
        <item x="252"/>
        <item x="696"/>
        <item x="77"/>
        <item x="554"/>
        <item x="733"/>
        <item x="482"/>
        <item x="937"/>
        <item x="810"/>
        <item x="557"/>
        <item x="909"/>
        <item x="992"/>
        <item x="219"/>
        <item x="532"/>
        <item x="574"/>
        <item x="499"/>
        <item x="579"/>
        <item x="65"/>
        <item x="201"/>
        <item x="950"/>
        <item x="686"/>
        <item x="511"/>
        <item x="236"/>
        <item x="716"/>
        <item x="902"/>
        <item x="134"/>
        <item x="639"/>
        <item x="811"/>
        <item x="62"/>
        <item x="42"/>
        <item x="710"/>
        <item x="344"/>
        <item x="450"/>
        <item x="58"/>
        <item x="335"/>
        <item x="995"/>
        <item x="963"/>
        <item x="119"/>
        <item x="71"/>
        <item x="127"/>
        <item x="934"/>
        <item x="293"/>
        <item x="759"/>
        <item x="132"/>
        <item x="678"/>
        <item x="952"/>
        <item x="217"/>
        <item x="823"/>
        <item x="24"/>
        <item x="577"/>
        <item x="226"/>
        <item x="788"/>
        <item x="173"/>
        <item x="52"/>
        <item x="0"/>
        <item x="553"/>
        <item x="959"/>
        <item x="375"/>
        <item x="619"/>
        <item x="35"/>
        <item x="483"/>
        <item x="250"/>
        <item x="157"/>
        <item x="490"/>
        <item x="190"/>
        <item x="970"/>
        <item x="969"/>
        <item x="755"/>
        <item x="876"/>
        <item x="474"/>
        <item x="947"/>
        <item x="699"/>
        <item x="47"/>
        <item x="730"/>
        <item x="278"/>
        <item x="835"/>
        <item x="781"/>
        <item x="844"/>
        <item x="264"/>
        <item x="231"/>
        <item x="965"/>
        <item x="753"/>
        <item x="875"/>
        <item x="298"/>
        <item x="227"/>
        <item x="14"/>
        <item x="492"/>
        <item x="614"/>
        <item x="649"/>
        <item x="284"/>
        <item x="650"/>
        <item x="89"/>
        <item x="352"/>
        <item x="683"/>
        <item x="715"/>
        <item x="864"/>
        <item x="723"/>
        <item x="273"/>
        <item x="478"/>
        <item x="206"/>
        <item x="576"/>
        <item x="364"/>
        <item x="121"/>
        <item x="496"/>
        <item x="927"/>
        <item x="272"/>
        <item x="357"/>
        <item x="181"/>
        <item x="356"/>
        <item x="731"/>
        <item x="688"/>
        <item x="419"/>
        <item x="874"/>
        <item x="638"/>
        <item x="622"/>
        <item x="855"/>
        <item x="161"/>
        <item x="567"/>
        <item x="97"/>
        <item x="562"/>
        <item x="41"/>
        <item x="764"/>
        <item x="962"/>
        <item x="933"/>
        <item x="385"/>
        <item x="426"/>
        <item x="29"/>
        <item x="931"/>
        <item x="153"/>
        <item x="290"/>
        <item x="524"/>
        <item x="447"/>
        <item x="642"/>
        <item x="87"/>
        <item x="320"/>
        <item x="20"/>
        <item x="445"/>
        <item x="275"/>
        <item x="776"/>
        <item x="502"/>
        <item x="800"/>
        <item x="479"/>
        <item x="59"/>
        <item x="738"/>
        <item x="766"/>
        <item x="223"/>
        <item x="54"/>
        <item x="395"/>
        <item x="256"/>
        <item x="136"/>
        <item x="541"/>
        <item x="630"/>
        <item x="792"/>
        <item x="906"/>
        <item x="501"/>
        <item x="729"/>
        <item x="43"/>
        <item x="984"/>
        <item x="528"/>
        <item x="633"/>
        <item x="819"/>
        <item x="232"/>
        <item x="771"/>
        <item x="476"/>
        <item x="383"/>
        <item x="120"/>
        <item x="211"/>
        <item x="817"/>
        <item x="546"/>
        <item x="891"/>
        <item x="259"/>
        <item x="415"/>
        <item x="527"/>
        <item x="306"/>
        <item x="945"/>
        <item x="936"/>
        <item x="410"/>
        <item x="885"/>
        <item x="318"/>
        <item x="480"/>
        <item x="274"/>
        <item x="801"/>
        <item x="440"/>
        <item x="240"/>
        <item x="994"/>
        <item x="94"/>
        <item x="929"/>
        <item x="63"/>
        <item x="799"/>
        <item x="564"/>
        <item x="163"/>
        <item x="495"/>
        <item x="396"/>
        <item x="449"/>
        <item x="720"/>
        <item x="180"/>
        <item x="973"/>
        <item x="468"/>
        <item x="895"/>
        <item x="285"/>
        <item x="941"/>
        <item x="651"/>
        <item x="765"/>
        <item x="185"/>
        <item x="939"/>
        <item x="337"/>
        <item x="860"/>
        <item x="735"/>
        <item x="803"/>
        <item x="51"/>
        <item x="883"/>
        <item x="229"/>
        <item x="854"/>
        <item x="851"/>
        <item x="785"/>
        <item x="778"/>
        <item x="739"/>
        <item x="515"/>
        <item x="762"/>
        <item x="747"/>
        <item x="238"/>
        <item x="610"/>
        <item x="805"/>
        <item x="88"/>
        <item x="260"/>
        <item x="82"/>
        <item x="825"/>
        <item x="692"/>
        <item x="829"/>
        <item x="441"/>
        <item x="898"/>
        <item t="default"/>
      </items>
    </pivotField>
    <pivotField axis="axisRow" numFmtId="164" showAll="0">
      <items count="341">
        <item x="176"/>
        <item x="271"/>
        <item x="175"/>
        <item x="270"/>
        <item x="174"/>
        <item x="173"/>
        <item x="172"/>
        <item x="316"/>
        <item x="315"/>
        <item x="171"/>
        <item x="269"/>
        <item x="170"/>
        <item x="268"/>
        <item x="169"/>
        <item x="168"/>
        <item x="167"/>
        <item x="166"/>
        <item x="165"/>
        <item x="267"/>
        <item x="164"/>
        <item x="266"/>
        <item x="163"/>
        <item x="162"/>
        <item x="265"/>
        <item x="161"/>
        <item x="160"/>
        <item x="159"/>
        <item x="158"/>
        <item x="339"/>
        <item x="157"/>
        <item x="264"/>
        <item x="314"/>
        <item x="156"/>
        <item x="155"/>
        <item x="313"/>
        <item x="154"/>
        <item x="153"/>
        <item x="263"/>
        <item x="152"/>
        <item x="151"/>
        <item x="150"/>
        <item x="149"/>
        <item x="262"/>
        <item x="312"/>
        <item x="148"/>
        <item x="261"/>
        <item x="147"/>
        <item x="260"/>
        <item x="259"/>
        <item x="258"/>
        <item x="146"/>
        <item x="145"/>
        <item x="311"/>
        <item x="144"/>
        <item x="257"/>
        <item x="338"/>
        <item x="310"/>
        <item x="143"/>
        <item x="256"/>
        <item x="142"/>
        <item x="255"/>
        <item x="141"/>
        <item x="140"/>
        <item x="139"/>
        <item x="254"/>
        <item x="309"/>
        <item x="337"/>
        <item x="138"/>
        <item x="336"/>
        <item x="137"/>
        <item x="136"/>
        <item x="253"/>
        <item x="252"/>
        <item x="135"/>
        <item x="134"/>
        <item x="133"/>
        <item x="132"/>
        <item x="131"/>
        <item x="251"/>
        <item x="130"/>
        <item x="129"/>
        <item x="250"/>
        <item x="128"/>
        <item x="249"/>
        <item x="335"/>
        <item x="334"/>
        <item x="127"/>
        <item x="126"/>
        <item x="125"/>
        <item x="248"/>
        <item x="308"/>
        <item x="247"/>
        <item x="307"/>
        <item x="124"/>
        <item x="246"/>
        <item x="333"/>
        <item x="306"/>
        <item x="245"/>
        <item x="123"/>
        <item x="122"/>
        <item x="244"/>
        <item x="243"/>
        <item x="305"/>
        <item x="304"/>
        <item x="303"/>
        <item x="332"/>
        <item x="121"/>
        <item x="242"/>
        <item x="302"/>
        <item x="120"/>
        <item x="119"/>
        <item x="118"/>
        <item x="117"/>
        <item x="301"/>
        <item x="116"/>
        <item x="115"/>
        <item x="114"/>
        <item x="113"/>
        <item x="112"/>
        <item x="111"/>
        <item x="110"/>
        <item x="241"/>
        <item x="240"/>
        <item x="109"/>
        <item x="331"/>
        <item x="108"/>
        <item x="107"/>
        <item x="239"/>
        <item x="106"/>
        <item x="105"/>
        <item x="104"/>
        <item x="238"/>
        <item x="103"/>
        <item x="300"/>
        <item x="237"/>
        <item x="102"/>
        <item x="101"/>
        <item x="236"/>
        <item x="330"/>
        <item x="235"/>
        <item x="100"/>
        <item x="99"/>
        <item x="98"/>
        <item x="234"/>
        <item x="299"/>
        <item x="329"/>
        <item x="233"/>
        <item x="97"/>
        <item x="232"/>
        <item x="298"/>
        <item x="96"/>
        <item x="95"/>
        <item x="94"/>
        <item x="231"/>
        <item x="93"/>
        <item x="92"/>
        <item x="91"/>
        <item x="230"/>
        <item x="229"/>
        <item x="90"/>
        <item x="228"/>
        <item x="89"/>
        <item x="297"/>
        <item x="88"/>
        <item x="227"/>
        <item x="87"/>
        <item x="226"/>
        <item x="328"/>
        <item x="86"/>
        <item x="296"/>
        <item x="85"/>
        <item x="225"/>
        <item x="84"/>
        <item x="224"/>
        <item x="295"/>
        <item x="223"/>
        <item x="83"/>
        <item x="82"/>
        <item x="81"/>
        <item x="80"/>
        <item x="79"/>
        <item x="222"/>
        <item x="221"/>
        <item x="220"/>
        <item x="294"/>
        <item x="219"/>
        <item x="218"/>
        <item x="78"/>
        <item x="77"/>
        <item x="217"/>
        <item x="216"/>
        <item x="76"/>
        <item x="215"/>
        <item x="75"/>
        <item x="214"/>
        <item x="74"/>
        <item x="327"/>
        <item x="213"/>
        <item x="73"/>
        <item x="72"/>
        <item x="212"/>
        <item x="71"/>
        <item x="70"/>
        <item x="69"/>
        <item x="68"/>
        <item x="67"/>
        <item x="66"/>
        <item x="211"/>
        <item x="65"/>
        <item x="64"/>
        <item x="210"/>
        <item x="63"/>
        <item x="209"/>
        <item x="62"/>
        <item x="293"/>
        <item x="61"/>
        <item x="292"/>
        <item x="60"/>
        <item x="326"/>
        <item x="59"/>
        <item x="58"/>
        <item x="57"/>
        <item x="56"/>
        <item x="55"/>
        <item x="208"/>
        <item x="54"/>
        <item x="53"/>
        <item x="52"/>
        <item x="291"/>
        <item x="51"/>
        <item x="207"/>
        <item x="206"/>
        <item x="50"/>
        <item x="205"/>
        <item x="290"/>
        <item x="49"/>
        <item x="48"/>
        <item x="325"/>
        <item x="204"/>
        <item x="47"/>
        <item x="289"/>
        <item x="203"/>
        <item x="202"/>
        <item x="46"/>
        <item x="45"/>
        <item x="44"/>
        <item x="43"/>
        <item x="201"/>
        <item x="324"/>
        <item x="42"/>
        <item x="200"/>
        <item x="41"/>
        <item x="288"/>
        <item x="40"/>
        <item x="199"/>
        <item x="198"/>
        <item x="323"/>
        <item x="39"/>
        <item x="38"/>
        <item x="287"/>
        <item x="286"/>
        <item x="37"/>
        <item x="36"/>
        <item x="197"/>
        <item x="35"/>
        <item x="196"/>
        <item x="34"/>
        <item x="195"/>
        <item x="33"/>
        <item x="285"/>
        <item x="32"/>
        <item x="284"/>
        <item x="31"/>
        <item x="194"/>
        <item x="193"/>
        <item x="30"/>
        <item x="29"/>
        <item x="283"/>
        <item x="28"/>
        <item x="282"/>
        <item x="27"/>
        <item x="322"/>
        <item x="26"/>
        <item x="281"/>
        <item x="280"/>
        <item x="192"/>
        <item x="25"/>
        <item x="24"/>
        <item x="23"/>
        <item x="191"/>
        <item x="22"/>
        <item x="279"/>
        <item x="278"/>
        <item x="321"/>
        <item x="21"/>
        <item x="190"/>
        <item x="20"/>
        <item x="19"/>
        <item x="18"/>
        <item x="17"/>
        <item x="277"/>
        <item x="189"/>
        <item x="188"/>
        <item x="187"/>
        <item x="16"/>
        <item x="276"/>
        <item x="15"/>
        <item x="14"/>
        <item x="186"/>
        <item x="185"/>
        <item x="184"/>
        <item x="183"/>
        <item x="275"/>
        <item x="182"/>
        <item x="13"/>
        <item x="274"/>
        <item x="12"/>
        <item x="11"/>
        <item x="320"/>
        <item x="319"/>
        <item x="181"/>
        <item x="10"/>
        <item x="273"/>
        <item x="180"/>
        <item x="179"/>
        <item x="9"/>
        <item x="8"/>
        <item x="7"/>
        <item x="178"/>
        <item x="272"/>
        <item x="318"/>
        <item x="6"/>
        <item x="5"/>
        <item x="177"/>
        <item x="4"/>
        <item x="3"/>
        <item x="2"/>
        <item x="1"/>
        <item x="317"/>
        <item x="0"/>
        <item t="default"/>
      </items>
    </pivotField>
    <pivotField numFmtId="164" showAll="0"/>
    <pivotField showAll="0">
      <items count="292">
        <item h="1" x="263"/>
        <item x="93"/>
        <item h="1" x="141"/>
        <item h="1" x="107"/>
        <item h="1" x="20"/>
        <item h="1" x="122"/>
        <item h="1" x="216"/>
        <item h="1" x="28"/>
        <item h="1" x="173"/>
        <item h="1" x="12"/>
        <item h="1" x="150"/>
        <item h="1" x="86"/>
        <item h="1" x="133"/>
        <item h="1" x="45"/>
        <item h="1" x="94"/>
        <item h="1" x="278"/>
        <item h="1" x="66"/>
        <item h="1" x="257"/>
        <item h="1" x="177"/>
        <item h="1" x="156"/>
        <item h="1" x="207"/>
        <item h="1" x="64"/>
        <item h="1" x="182"/>
        <item h="1" x="144"/>
        <item h="1" x="282"/>
        <item h="1" x="38"/>
        <item h="1" x="169"/>
        <item h="1" x="172"/>
        <item h="1" x="63"/>
        <item h="1" x="171"/>
        <item h="1" x="219"/>
        <item h="1" x="123"/>
        <item h="1" x="148"/>
        <item h="1" x="238"/>
        <item h="1" x="46"/>
        <item h="1" x="203"/>
        <item h="1" x="251"/>
        <item h="1" x="196"/>
        <item h="1" x="163"/>
        <item h="1" x="73"/>
        <item h="1" x="181"/>
        <item h="1" x="275"/>
        <item h="1" x="114"/>
        <item h="1" x="246"/>
        <item h="1" x="22"/>
        <item h="1" x="98"/>
        <item h="1" x="175"/>
        <item h="1" x="147"/>
        <item h="1" x="245"/>
        <item h="1" x="2"/>
        <item h="1" x="128"/>
        <item h="1" x="23"/>
        <item h="1" x="155"/>
        <item h="1" x="140"/>
        <item h="1" x="285"/>
        <item h="1" x="29"/>
        <item h="1" x="52"/>
        <item h="1" x="72"/>
        <item h="1" x="213"/>
        <item h="1" x="261"/>
        <item h="1" x="95"/>
        <item h="1" x="167"/>
        <item h="1" x="222"/>
        <item h="1" x="242"/>
        <item h="1" x="17"/>
        <item h="1" x="230"/>
        <item h="1" x="229"/>
        <item h="1" x="142"/>
        <item h="1" x="110"/>
        <item h="1" x="212"/>
        <item h="1" x="159"/>
        <item h="1" x="164"/>
        <item h="1" x="183"/>
        <item h="1" x="218"/>
        <item h="1" x="214"/>
        <item h="1" x="88"/>
        <item h="1" x="44"/>
        <item h="1" x="101"/>
        <item h="1" x="198"/>
        <item h="1" x="120"/>
        <item h="1" x="69"/>
        <item h="1" x="0"/>
        <item h="1" x="240"/>
        <item h="1" x="239"/>
        <item h="1" x="42"/>
        <item h="1" x="135"/>
        <item h="1" x="48"/>
        <item h="1" x="21"/>
        <item h="1" x="208"/>
        <item h="1" x="130"/>
        <item h="1" x="152"/>
        <item h="1" x="71"/>
        <item h="1" x="113"/>
        <item h="1" x="231"/>
        <item h="1" x="174"/>
        <item h="1" x="146"/>
        <item h="1" x="54"/>
        <item h="1" x="19"/>
        <item h="1" x="138"/>
        <item h="1" x="179"/>
        <item h="1" x="186"/>
        <item h="1" x="288"/>
        <item h="1" x="197"/>
        <item h="1" x="202"/>
        <item h="1" x="6"/>
        <item h="1" x="271"/>
        <item h="1" x="47"/>
        <item h="1" x="31"/>
        <item h="1" x="227"/>
        <item h="1" x="118"/>
        <item h="1" x="103"/>
        <item h="1" x="84"/>
        <item h="1" x="67"/>
        <item h="1" x="225"/>
        <item h="1" x="99"/>
        <item h="1" x="35"/>
        <item h="1" x="116"/>
        <item h="1" x="1"/>
        <item h="1" x="270"/>
        <item h="1" x="68"/>
        <item h="1" x="262"/>
        <item h="1" x="32"/>
        <item h="1" x="206"/>
        <item h="1" x="185"/>
        <item h="1" x="249"/>
        <item h="1" x="217"/>
        <item h="1" x="10"/>
        <item h="1" x="33"/>
        <item h="1" x="220"/>
        <item h="1" x="268"/>
        <item h="1" x="40"/>
        <item h="1" x="153"/>
        <item h="1" x="51"/>
        <item h="1" x="126"/>
        <item h="1" x="105"/>
        <item h="1" x="76"/>
        <item h="1" x="160"/>
        <item h="1" x="57"/>
        <item h="1" x="244"/>
        <item h="1" x="267"/>
        <item h="1" x="205"/>
        <item h="1" x="243"/>
        <item h="1" x="36"/>
        <item h="1" x="250"/>
        <item h="1" x="187"/>
        <item h="1" x="41"/>
        <item h="1" x="161"/>
        <item h="1" x="287"/>
        <item h="1" x="58"/>
        <item h="1" x="65"/>
        <item h="1" x="131"/>
        <item h="1" x="281"/>
        <item h="1" x="89"/>
        <item h="1" x="233"/>
        <item h="1" x="119"/>
        <item h="1" x="252"/>
        <item h="1" x="109"/>
        <item h="1" x="265"/>
        <item h="1" x="241"/>
        <item h="1" x="273"/>
        <item h="1" x="30"/>
        <item h="1" x="121"/>
        <item h="1" x="162"/>
        <item h="1" x="78"/>
        <item h="1" x="3"/>
        <item h="1" x="274"/>
        <item h="1" x="149"/>
        <item h="1" x="236"/>
        <item h="1" x="224"/>
        <item h="1" x="50"/>
        <item h="1" x="14"/>
        <item h="1" x="232"/>
        <item h="1" x="158"/>
        <item h="1" x="74"/>
        <item h="1" x="168"/>
        <item h="1" x="62"/>
        <item h="1" x="106"/>
        <item h="1" x="34"/>
        <item h="1" x="289"/>
        <item h="1" x="176"/>
        <item h="1" x="53"/>
        <item h="1" x="170"/>
        <item h="1" x="137"/>
        <item h="1" x="92"/>
        <item h="1" x="49"/>
        <item h="1" x="9"/>
        <item h="1" x="237"/>
        <item h="1" x="210"/>
        <item h="1" x="4"/>
        <item h="1" x="18"/>
        <item h="1" x="55"/>
        <item h="1" x="269"/>
        <item h="1" x="61"/>
        <item h="1" x="228"/>
        <item h="1" x="108"/>
        <item h="1" x="201"/>
        <item h="1" x="248"/>
        <item h="1" x="253"/>
        <item h="1" x="190"/>
        <item h="1" x="157"/>
        <item h="1" x="81"/>
        <item h="1" x="235"/>
        <item h="1" x="70"/>
        <item h="1" x="100"/>
        <item h="1" x="132"/>
        <item h="1" x="15"/>
        <item h="1" x="255"/>
        <item h="1" x="37"/>
        <item h="1" x="127"/>
        <item h="1" x="80"/>
        <item h="1" x="276"/>
        <item h="1" x="85"/>
        <item h="1" x="83"/>
        <item h="1" x="26"/>
        <item h="1" x="211"/>
        <item h="1" x="59"/>
        <item h="1" x="77"/>
        <item h="1" x="117"/>
        <item h="1" x="254"/>
        <item h="1" x="226"/>
        <item h="1" x="234"/>
        <item h="1" x="286"/>
        <item h="1" x="189"/>
        <item h="1" x="60"/>
        <item h="1" x="284"/>
        <item h="1" x="125"/>
        <item h="1" x="166"/>
        <item h="1" x="8"/>
        <item h="1" x="266"/>
        <item h="1" x="279"/>
        <item h="1" x="13"/>
        <item h="1" x="165"/>
        <item h="1" x="24"/>
        <item h="1" x="272"/>
        <item h="1" x="5"/>
        <item h="1" x="194"/>
        <item h="1" x="97"/>
        <item h="1" x="143"/>
        <item h="1" x="43"/>
        <item h="1" x="260"/>
        <item h="1" x="11"/>
        <item h="1" x="188"/>
        <item h="1" x="247"/>
        <item h="1" x="16"/>
        <item h="1" x="215"/>
        <item h="1" x="56"/>
        <item h="1" x="192"/>
        <item h="1" x="112"/>
        <item h="1" x="129"/>
        <item h="1" x="96"/>
        <item h="1" x="259"/>
        <item h="1" x="134"/>
        <item h="1" x="283"/>
        <item h="1" x="102"/>
        <item h="1" x="151"/>
        <item h="1" x="204"/>
        <item h="1" x="27"/>
        <item h="1" x="104"/>
        <item h="1" x="25"/>
        <item h="1" x="277"/>
        <item h="1" x="195"/>
        <item h="1" x="223"/>
        <item h="1" x="221"/>
        <item h="1" x="139"/>
        <item h="1" x="264"/>
        <item h="1" x="115"/>
        <item h="1" x="280"/>
        <item h="1" x="91"/>
        <item h="1" x="180"/>
        <item h="1" x="39"/>
        <item h="1" x="258"/>
        <item h="1" x="199"/>
        <item h="1" x="90"/>
        <item h="1" x="184"/>
        <item h="1" x="209"/>
        <item h="1" x="136"/>
        <item h="1" x="256"/>
        <item h="1" x="82"/>
        <item h="1" x="200"/>
        <item h="1" x="193"/>
        <item h="1" x="111"/>
        <item h="1" x="290"/>
        <item h="1" x="191"/>
        <item h="1" x="154"/>
        <item h="1" x="7"/>
        <item h="1" x="124"/>
        <item h="1" x="178"/>
        <item h="1" x="75"/>
        <item h="1" x="145"/>
        <item h="1" x="87"/>
        <item h="1" x="79"/>
        <item t="default"/>
      </items>
    </pivotField>
    <pivotField showAll="0">
      <items count="101">
        <item h="1" x="91"/>
        <item h="1" x="66"/>
        <item h="1" x="51"/>
        <item h="1" x="43"/>
        <item x="69"/>
        <item h="1" x="20"/>
        <item h="1" x="50"/>
        <item h="1" x="23"/>
        <item h="1" x="63"/>
        <item h="1" x="19"/>
        <item h="1" x="35"/>
        <item h="1" x="94"/>
        <item h="1" x="36"/>
        <item h="1" x="57"/>
        <item h="1" x="90"/>
        <item h="1" x="52"/>
        <item h="1" x="27"/>
        <item h="1" x="24"/>
        <item h="1" x="93"/>
        <item h="1" x="26"/>
        <item h="1" x="14"/>
        <item h="1" x="58"/>
        <item h="1" x="12"/>
        <item h="1" x="39"/>
        <item h="1" x="49"/>
        <item h="1" x="96"/>
        <item h="1" x="88"/>
        <item h="1" x="0"/>
        <item h="1" x="86"/>
        <item h="1" x="41"/>
        <item h="1" x="60"/>
        <item h="1" x="65"/>
        <item h="1" x="44"/>
        <item h="1" x="98"/>
        <item h="1" x="3"/>
        <item h="1" x="13"/>
        <item h="1" x="16"/>
        <item h="1" x="21"/>
        <item h="1" x="28"/>
        <item h="1" x="95"/>
        <item h="1" x="53"/>
        <item h="1" x="7"/>
        <item h="1" x="8"/>
        <item h="1" x="17"/>
        <item h="1" x="83"/>
        <item h="1" x="68"/>
        <item h="1" x="59"/>
        <item h="1" x="97"/>
        <item h="1" x="70"/>
        <item h="1" x="64"/>
        <item h="1" x="2"/>
        <item h="1" x="40"/>
        <item h="1" x="45"/>
        <item h="1" x="32"/>
        <item h="1" x="9"/>
        <item h="1" x="80"/>
        <item h="1" x="10"/>
        <item h="1" x="77"/>
        <item h="1" x="76"/>
        <item h="1" x="54"/>
        <item h="1" x="42"/>
        <item h="1" x="47"/>
        <item h="1" x="37"/>
        <item h="1" x="18"/>
        <item h="1" x="5"/>
        <item h="1" x="92"/>
        <item h="1" x="22"/>
        <item h="1" x="99"/>
        <item h="1" x="84"/>
        <item h="1" x="55"/>
        <item h="1" x="67"/>
        <item h="1" x="73"/>
        <item h="1" x="38"/>
        <item h="1" x="71"/>
        <item h="1" x="79"/>
        <item h="1" x="82"/>
        <item h="1" x="15"/>
        <item h="1" x="62"/>
        <item h="1" x="29"/>
        <item h="1" x="46"/>
        <item h="1" x="85"/>
        <item h="1" x="25"/>
        <item h="1" x="75"/>
        <item h="1" x="34"/>
        <item h="1" x="11"/>
        <item h="1" x="4"/>
        <item h="1" x="72"/>
        <item h="1" x="30"/>
        <item h="1" x="89"/>
        <item h="1" x="87"/>
        <item h="1" x="48"/>
        <item h="1" x="56"/>
        <item h="1" x="78"/>
        <item h="1" x="33"/>
        <item h="1" x="6"/>
        <item h="1" x="31"/>
        <item h="1" x="61"/>
        <item h="1" x="1"/>
        <item h="1" x="81"/>
        <item h="1" x="74"/>
        <item t="default"/>
      </items>
    </pivotField>
    <pivotField showAll="0"/>
    <pivotField showAll="0"/>
    <pivotField showAll="0"/>
    <pivotField axis="axisRow" showAll="0">
      <items count="5">
        <item x="0"/>
        <item x="1"/>
        <item x="2"/>
        <item x="3"/>
        <item t="default"/>
      </items>
    </pivotField>
    <pivotField axis="axisRow" showAll="0">
      <items count="5">
        <item x="2"/>
        <item x="0"/>
        <item x="1"/>
        <item x="3"/>
        <item t="default"/>
      </items>
    </pivotField>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x="6"/>
        <item sd="0" x="7"/>
        <item sd="0" x="8"/>
        <item sd="0" x="9"/>
        <item sd="0" x="10"/>
        <item sd="0" x="11"/>
        <item sd="0" x="12"/>
        <item sd="0" x="13"/>
        <item t="default"/>
      </items>
    </pivotField>
  </pivotFields>
  <rowFields count="5">
    <field x="8"/>
    <field x="14"/>
    <field x="13"/>
    <field x="1"/>
    <field x="9"/>
  </rowFields>
  <rowItems count="18">
    <i>
      <x/>
    </i>
    <i r="1">
      <x v="1"/>
    </i>
    <i r="1">
      <x v="5"/>
    </i>
    <i r="1">
      <x v="6"/>
    </i>
    <i r="2">
      <x v="182"/>
    </i>
    <i r="1">
      <x v="9"/>
    </i>
    <i>
      <x v="1"/>
    </i>
    <i r="1">
      <x v="2"/>
    </i>
    <i r="1">
      <x v="3"/>
    </i>
    <i r="1">
      <x v="4"/>
    </i>
    <i>
      <x v="2"/>
    </i>
    <i r="1">
      <x v="5"/>
    </i>
    <i r="1">
      <x v="9"/>
    </i>
    <i r="1">
      <x v="12"/>
    </i>
    <i>
      <x v="3"/>
    </i>
    <i r="1">
      <x v="4"/>
    </i>
    <i r="1">
      <x v="9"/>
    </i>
    <i t="grand">
      <x/>
    </i>
  </rowItems>
  <colItems count="1">
    <i/>
  </colItems>
  <dataFields count="1">
    <dataField name="Sum of Gross Sales" fld="1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66E728D1-25ED-D041-BB61-A53D424670E4}" sourceName="Product_ID">
  <pivotTables>
    <pivotTable tabId="15" name="PivotTable5"/>
  </pivotTables>
  <data>
    <tabular pivotCacheId="1143239561">
      <items count="100">
        <i x="91"/>
        <i x="66"/>
        <i x="51"/>
        <i x="43"/>
        <i x="69" s="1"/>
        <i x="20"/>
        <i x="50"/>
        <i x="23"/>
        <i x="63"/>
        <i x="19"/>
        <i x="35"/>
        <i x="94"/>
        <i x="36"/>
        <i x="57"/>
        <i x="90"/>
        <i x="52"/>
        <i x="27"/>
        <i x="24"/>
        <i x="93"/>
        <i x="26"/>
        <i x="14"/>
        <i x="58"/>
        <i x="12"/>
        <i x="39"/>
        <i x="49"/>
        <i x="96"/>
        <i x="88"/>
        <i x="0"/>
        <i x="86"/>
        <i x="41"/>
        <i x="60"/>
        <i x="65"/>
        <i x="44"/>
        <i x="98"/>
        <i x="3"/>
        <i x="13"/>
        <i x="16"/>
        <i x="21"/>
        <i x="28"/>
        <i x="95"/>
        <i x="53"/>
        <i x="7"/>
        <i x="8"/>
        <i x="17"/>
        <i x="83"/>
        <i x="68"/>
        <i x="59"/>
        <i x="97"/>
        <i x="70"/>
        <i x="64"/>
        <i x="2"/>
        <i x="40"/>
        <i x="45"/>
        <i x="32"/>
        <i x="9"/>
        <i x="80"/>
        <i x="10"/>
        <i x="77"/>
        <i x="76"/>
        <i x="54"/>
        <i x="42"/>
        <i x="47"/>
        <i x="37"/>
        <i x="18"/>
        <i x="5"/>
        <i x="92"/>
        <i x="22"/>
        <i x="99"/>
        <i x="84"/>
        <i x="55"/>
        <i x="67"/>
        <i x="73"/>
        <i x="38"/>
        <i x="71"/>
        <i x="79"/>
        <i x="82"/>
        <i x="15"/>
        <i x="62"/>
        <i x="29"/>
        <i x="46"/>
        <i x="85"/>
        <i x="25"/>
        <i x="75"/>
        <i x="34"/>
        <i x="11"/>
        <i x="4"/>
        <i x="72"/>
        <i x="30"/>
        <i x="89"/>
        <i x="87"/>
        <i x="48"/>
        <i x="56"/>
        <i x="78"/>
        <i x="33"/>
        <i x="6"/>
        <i x="31"/>
        <i x="61"/>
        <i x="1"/>
        <i x="81"/>
        <i x="7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600632-94FD-A841-825B-333D57442FAD}" sourceName="Region">
  <pivotTables>
    <pivotTable tabId="15" name="PivotTable5"/>
  </pivotTables>
  <data>
    <tabular pivotCacheId="114323956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78772DF2-5EDC-414D-B0E6-2A13BC67261E}" sourceName="Order_Date">
  <pivotTables>
    <pivotTable tabId="15" name="PivotTable5"/>
  </pivotTables>
  <data>
    <tabular pivotCacheId="1143239561">
      <items count="340">
        <i x="267" s="1"/>
        <i x="155" s="1"/>
        <i x="253" s="1"/>
        <i x="120" s="1"/>
        <i x="116" s="1"/>
        <i x="104" s="1"/>
        <i x="98" s="1"/>
        <i x="84" s="1"/>
        <i x="46" s="1"/>
        <i x="200" s="1"/>
        <i x="198" s="1"/>
        <i x="177" s="1"/>
        <i x="176" s="1" nd="1"/>
        <i x="271" s="1" nd="1"/>
        <i x="175" s="1" nd="1"/>
        <i x="270" s="1" nd="1"/>
        <i x="174" s="1" nd="1"/>
        <i x="173" s="1" nd="1"/>
        <i x="172" s="1" nd="1"/>
        <i x="316" s="1" nd="1"/>
        <i x="315" s="1" nd="1"/>
        <i x="171" s="1" nd="1"/>
        <i x="269" s="1" nd="1"/>
        <i x="170" s="1" nd="1"/>
        <i x="268" s="1" nd="1"/>
        <i x="169" s="1" nd="1"/>
        <i x="168" s="1" nd="1"/>
        <i x="167" s="1" nd="1"/>
        <i x="166" s="1" nd="1"/>
        <i x="165" s="1" nd="1"/>
        <i x="164" s="1" nd="1"/>
        <i x="266" s="1" nd="1"/>
        <i x="163" s="1" nd="1"/>
        <i x="162" s="1" nd="1"/>
        <i x="265" s="1" nd="1"/>
        <i x="161" s="1" nd="1"/>
        <i x="160" s="1" nd="1"/>
        <i x="159" s="1" nd="1"/>
        <i x="158" s="1" nd="1"/>
        <i x="339" s="1" nd="1"/>
        <i x="157" s="1" nd="1"/>
        <i x="264" s="1" nd="1"/>
        <i x="314" s="1" nd="1"/>
        <i x="156" s="1" nd="1"/>
        <i x="313" s="1" nd="1"/>
        <i x="154" s="1" nd="1"/>
        <i x="153" s="1" nd="1"/>
        <i x="263" s="1" nd="1"/>
        <i x="152" s="1" nd="1"/>
        <i x="151" s="1" nd="1"/>
        <i x="150" s="1" nd="1"/>
        <i x="149" s="1" nd="1"/>
        <i x="262" s="1" nd="1"/>
        <i x="312" s="1" nd="1"/>
        <i x="148" s="1" nd="1"/>
        <i x="261" s="1" nd="1"/>
        <i x="147" s="1" nd="1"/>
        <i x="260" s="1" nd="1"/>
        <i x="259" s="1" nd="1"/>
        <i x="258" s="1" nd="1"/>
        <i x="146" s="1" nd="1"/>
        <i x="145" s="1" nd="1"/>
        <i x="311" s="1" nd="1"/>
        <i x="144" s="1" nd="1"/>
        <i x="257" s="1" nd="1"/>
        <i x="338" s="1" nd="1"/>
        <i x="310" s="1" nd="1"/>
        <i x="143" s="1" nd="1"/>
        <i x="256" s="1" nd="1"/>
        <i x="142" s="1" nd="1"/>
        <i x="255" s="1" nd="1"/>
        <i x="141" s="1" nd="1"/>
        <i x="140" s="1" nd="1"/>
        <i x="139" s="1" nd="1"/>
        <i x="254" s="1" nd="1"/>
        <i x="309" s="1" nd="1"/>
        <i x="337" s="1" nd="1"/>
        <i x="138" s="1" nd="1"/>
        <i x="336" s="1" nd="1"/>
        <i x="137" s="1" nd="1"/>
        <i x="136" s="1" nd="1"/>
        <i x="252" s="1" nd="1"/>
        <i x="135" s="1" nd="1"/>
        <i x="134" s="1" nd="1"/>
        <i x="133" s="1" nd="1"/>
        <i x="132" s="1" nd="1"/>
        <i x="131" s="1" nd="1"/>
        <i x="251" s="1" nd="1"/>
        <i x="130" s="1" nd="1"/>
        <i x="129" s="1" nd="1"/>
        <i x="250" s="1" nd="1"/>
        <i x="128" s="1" nd="1"/>
        <i x="249" s="1" nd="1"/>
        <i x="335" s="1" nd="1"/>
        <i x="334" s="1" nd="1"/>
        <i x="127" s="1" nd="1"/>
        <i x="126" s="1" nd="1"/>
        <i x="125" s="1" nd="1"/>
        <i x="248" s="1" nd="1"/>
        <i x="308" s="1" nd="1"/>
        <i x="247" s="1" nd="1"/>
        <i x="307" s="1" nd="1"/>
        <i x="124" s="1" nd="1"/>
        <i x="246" s="1" nd="1"/>
        <i x="333" s="1" nd="1"/>
        <i x="306" s="1" nd="1"/>
        <i x="245" s="1" nd="1"/>
        <i x="123" s="1" nd="1"/>
        <i x="122" s="1" nd="1"/>
        <i x="244" s="1" nd="1"/>
        <i x="243" s="1" nd="1"/>
        <i x="305" s="1" nd="1"/>
        <i x="304" s="1" nd="1"/>
        <i x="303" s="1" nd="1"/>
        <i x="332" s="1" nd="1"/>
        <i x="121" s="1" nd="1"/>
        <i x="242" s="1" nd="1"/>
        <i x="302" s="1" nd="1"/>
        <i x="119" s="1" nd="1"/>
        <i x="118" s="1" nd="1"/>
        <i x="117" s="1" nd="1"/>
        <i x="301" s="1" nd="1"/>
        <i x="115" s="1" nd="1"/>
        <i x="114" s="1" nd="1"/>
        <i x="113" s="1" nd="1"/>
        <i x="112" s="1" nd="1"/>
        <i x="111" s="1" nd="1"/>
        <i x="110" s="1" nd="1"/>
        <i x="241" s="1" nd="1"/>
        <i x="240" s="1" nd="1"/>
        <i x="109" s="1" nd="1"/>
        <i x="331" s="1" nd="1"/>
        <i x="108" s="1" nd="1"/>
        <i x="107" s="1" nd="1"/>
        <i x="239" s="1" nd="1"/>
        <i x="106" s="1" nd="1"/>
        <i x="105" s="1" nd="1"/>
        <i x="238" s="1" nd="1"/>
        <i x="103" s="1" nd="1"/>
        <i x="300" s="1" nd="1"/>
        <i x="237" s="1" nd="1"/>
        <i x="102" s="1" nd="1"/>
        <i x="101" s="1" nd="1"/>
        <i x="236" s="1" nd="1"/>
        <i x="330" s="1" nd="1"/>
        <i x="235" s="1" nd="1"/>
        <i x="100" s="1" nd="1"/>
        <i x="99" s="1" nd="1"/>
        <i x="234" s="1" nd="1"/>
        <i x="299" s="1" nd="1"/>
        <i x="329" s="1" nd="1"/>
        <i x="233" s="1" nd="1"/>
        <i x="97" s="1" nd="1"/>
        <i x="232" s="1" nd="1"/>
        <i x="298" s="1" nd="1"/>
        <i x="96" s="1" nd="1"/>
        <i x="95" s="1" nd="1"/>
        <i x="94" s="1" nd="1"/>
        <i x="231" s="1" nd="1"/>
        <i x="93" s="1" nd="1"/>
        <i x="92" s="1" nd="1"/>
        <i x="91" s="1" nd="1"/>
        <i x="230" s="1" nd="1"/>
        <i x="229" s="1" nd="1"/>
        <i x="90" s="1" nd="1"/>
        <i x="228" s="1" nd="1"/>
        <i x="89" s="1" nd="1"/>
        <i x="297" s="1" nd="1"/>
        <i x="88" s="1" nd="1"/>
        <i x="227" s="1" nd="1"/>
        <i x="87" s="1" nd="1"/>
        <i x="226" s="1" nd="1"/>
        <i x="328" s="1" nd="1"/>
        <i x="86" s="1" nd="1"/>
        <i x="296" s="1" nd="1"/>
        <i x="85" s="1" nd="1"/>
        <i x="225" s="1" nd="1"/>
        <i x="224" s="1" nd="1"/>
        <i x="295" s="1" nd="1"/>
        <i x="223" s="1" nd="1"/>
        <i x="83" s="1" nd="1"/>
        <i x="82" s="1" nd="1"/>
        <i x="81" s="1" nd="1"/>
        <i x="80" s="1" nd="1"/>
        <i x="79" s="1" nd="1"/>
        <i x="222" s="1" nd="1"/>
        <i x="221" s="1" nd="1"/>
        <i x="220" s="1" nd="1"/>
        <i x="294" s="1" nd="1"/>
        <i x="219" s="1" nd="1"/>
        <i x="218" s="1" nd="1"/>
        <i x="78" s="1" nd="1"/>
        <i x="77" s="1" nd="1"/>
        <i x="217" s="1" nd="1"/>
        <i x="216" s="1" nd="1"/>
        <i x="76" s="1" nd="1"/>
        <i x="215" s="1" nd="1"/>
        <i x="75" s="1" nd="1"/>
        <i x="214" s="1" nd="1"/>
        <i x="74" s="1" nd="1"/>
        <i x="327" s="1" nd="1"/>
        <i x="213" s="1" nd="1"/>
        <i x="73" s="1" nd="1"/>
        <i x="72" s="1" nd="1"/>
        <i x="212" s="1" nd="1"/>
        <i x="71" s="1" nd="1"/>
        <i x="70" s="1" nd="1"/>
        <i x="69" s="1" nd="1"/>
        <i x="68" s="1" nd="1"/>
        <i x="67" s="1" nd="1"/>
        <i x="66" s="1" nd="1"/>
        <i x="211" s="1" nd="1"/>
        <i x="65" s="1" nd="1"/>
        <i x="64" s="1" nd="1"/>
        <i x="210" s="1" nd="1"/>
        <i x="63" s="1" nd="1"/>
        <i x="209" s="1" nd="1"/>
        <i x="62" s="1" nd="1"/>
        <i x="293" s="1" nd="1"/>
        <i x="61" s="1" nd="1"/>
        <i x="292" s="1" nd="1"/>
        <i x="60" s="1" nd="1"/>
        <i x="326" s="1" nd="1"/>
        <i x="59" s="1" nd="1"/>
        <i x="58" s="1" nd="1"/>
        <i x="57" s="1" nd="1"/>
        <i x="56" s="1" nd="1"/>
        <i x="55" s="1" nd="1"/>
        <i x="208" s="1" nd="1"/>
        <i x="54" s="1" nd="1"/>
        <i x="53" s="1" nd="1"/>
        <i x="52" s="1" nd="1"/>
        <i x="291" s="1" nd="1"/>
        <i x="51" s="1" nd="1"/>
        <i x="207" s="1" nd="1"/>
        <i x="206" s="1" nd="1"/>
        <i x="50" s="1" nd="1"/>
        <i x="205" s="1" nd="1"/>
        <i x="290" s="1" nd="1"/>
        <i x="49" s="1" nd="1"/>
        <i x="48" s="1" nd="1"/>
        <i x="325" s="1" nd="1"/>
        <i x="204" s="1" nd="1"/>
        <i x="47" s="1" nd="1"/>
        <i x="289" s="1" nd="1"/>
        <i x="203" s="1" nd="1"/>
        <i x="202" s="1" nd="1"/>
        <i x="45" s="1" nd="1"/>
        <i x="44" s="1" nd="1"/>
        <i x="43" s="1" nd="1"/>
        <i x="201" s="1" nd="1"/>
        <i x="324" s="1" nd="1"/>
        <i x="42" s="1" nd="1"/>
        <i x="41" s="1" nd="1"/>
        <i x="288" s="1" nd="1"/>
        <i x="40" s="1" nd="1"/>
        <i x="199" s="1" nd="1"/>
        <i x="323" s="1" nd="1"/>
        <i x="39" s="1" nd="1"/>
        <i x="38" s="1" nd="1"/>
        <i x="287" s="1" nd="1"/>
        <i x="286" s="1" nd="1"/>
        <i x="37" s="1" nd="1"/>
        <i x="36" s="1" nd="1"/>
        <i x="197" s="1" nd="1"/>
        <i x="35" s="1" nd="1"/>
        <i x="196" s="1" nd="1"/>
        <i x="34" s="1" nd="1"/>
        <i x="195" s="1" nd="1"/>
        <i x="33" s="1" nd="1"/>
        <i x="285" s="1" nd="1"/>
        <i x="32" s="1" nd="1"/>
        <i x="284" s="1" nd="1"/>
        <i x="31" s="1" nd="1"/>
        <i x="194" s="1" nd="1"/>
        <i x="193" s="1" nd="1"/>
        <i x="30" s="1" nd="1"/>
        <i x="29" s="1" nd="1"/>
        <i x="283" s="1" nd="1"/>
        <i x="28" s="1" nd="1"/>
        <i x="282" s="1" nd="1"/>
        <i x="27" s="1" nd="1"/>
        <i x="322" s="1" nd="1"/>
        <i x="26" s="1" nd="1"/>
        <i x="281" s="1" nd="1"/>
        <i x="280" s="1" nd="1"/>
        <i x="192" s="1" nd="1"/>
        <i x="25" s="1" nd="1"/>
        <i x="24" s="1" nd="1"/>
        <i x="23" s="1" nd="1"/>
        <i x="191" s="1" nd="1"/>
        <i x="22" s="1" nd="1"/>
        <i x="279" s="1" nd="1"/>
        <i x="278" s="1" nd="1"/>
        <i x="321" s="1" nd="1"/>
        <i x="21" s="1" nd="1"/>
        <i x="190" s="1" nd="1"/>
        <i x="20" s="1" nd="1"/>
        <i x="19" s="1" nd="1"/>
        <i x="18" s="1" nd="1"/>
        <i x="17" s="1" nd="1"/>
        <i x="277" s="1" nd="1"/>
        <i x="189" s="1" nd="1"/>
        <i x="188" s="1" nd="1"/>
        <i x="187" s="1" nd="1"/>
        <i x="16" s="1" nd="1"/>
        <i x="276" s="1" nd="1"/>
        <i x="15" s="1" nd="1"/>
        <i x="14" s="1" nd="1"/>
        <i x="186" s="1" nd="1"/>
        <i x="185" s="1" nd="1"/>
        <i x="184" s="1" nd="1"/>
        <i x="183" s="1" nd="1"/>
        <i x="275" s="1" nd="1"/>
        <i x="182" s="1" nd="1"/>
        <i x="13" s="1" nd="1"/>
        <i x="274" s="1" nd="1"/>
        <i x="12" s="1" nd="1"/>
        <i x="11" s="1" nd="1"/>
        <i x="320" s="1" nd="1"/>
        <i x="319" s="1" nd="1"/>
        <i x="181" s="1" nd="1"/>
        <i x="10" s="1" nd="1"/>
        <i x="273" s="1" nd="1"/>
        <i x="180" s="1" nd="1"/>
        <i x="179" s="1" nd="1"/>
        <i x="9" s="1" nd="1"/>
        <i x="8" s="1" nd="1"/>
        <i x="7" s="1" nd="1"/>
        <i x="178" s="1" nd="1"/>
        <i x="272" s="1" nd="1"/>
        <i x="318" s="1" nd="1"/>
        <i x="6" s="1" nd="1"/>
        <i x="5" s="1" nd="1"/>
        <i x="4" s="1" nd="1"/>
        <i x="3" s="1" nd="1"/>
        <i x="2" s="1" nd="1"/>
        <i x="1" s="1" nd="1"/>
        <i x="317"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E9B33CDC-09C3-444A-9E21-55E057925FB0}" cache="Slicer_Product_ID" caption="Product_ID" rowHeight="230716"/>
  <slicer name="Region" xr10:uid="{41F18EEB-5EB2-BC47-A8DA-796AD8A7CCE4}" cache="Slicer_Region" caption="Region" rowHeight="230716"/>
  <slicer name="Order_Date" xr10:uid="{476E7C61-4912-4F40-9920-9BF185BA8EC6}" cache="Slicer_Order_Date" caption="Order_Dat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28A8E-9943-004C-9ABC-2C4D3FCED60F}">
  <dimension ref="A1:D2"/>
  <sheetViews>
    <sheetView tabSelected="1" zoomScale="280" zoomScaleNormal="280" workbookViewId="0">
      <selection activeCell="A4" sqref="A4"/>
    </sheetView>
  </sheetViews>
  <sheetFormatPr defaultColWidth="11.42578125" defaultRowHeight="15"/>
  <cols>
    <col min="1" max="1" width="16.140625" customWidth="1"/>
  </cols>
  <sheetData>
    <row r="1" spans="1:4" s="2" customFormat="1" ht="16.5">
      <c r="A1" s="18" t="s">
        <v>874</v>
      </c>
      <c r="B1" s="2" t="s">
        <v>875</v>
      </c>
      <c r="C1" s="2" t="s">
        <v>876</v>
      </c>
      <c r="D1" s="2" t="s">
        <v>877</v>
      </c>
    </row>
    <row r="2" spans="1:4" ht="15.75">
      <c r="A2" s="17">
        <f>SUM(Orders!L:L)</f>
        <v>-17650856</v>
      </c>
      <c r="B2" s="17">
        <f>COUNTA(Orders!A:A)</f>
        <v>1001</v>
      </c>
      <c r="C2" s="17">
        <f>SUM(Orders!L:L)/COUNTA(Orders!A:A)</f>
        <v>-17633.222777222778</v>
      </c>
      <c r="D2" s="17">
        <f>SUM(Orders!M:M)</f>
        <v>174068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D936-3AAD-5C48-A6E6-3BA6E5BE7B66}">
  <dimension ref="A1:B19"/>
  <sheetViews>
    <sheetView zoomScale="170" zoomScaleNormal="170" workbookViewId="0">
      <selection activeCell="A3" sqref="A3"/>
    </sheetView>
  </sheetViews>
  <sheetFormatPr defaultColWidth="11.42578125" defaultRowHeight="15"/>
  <cols>
    <col min="1" max="1" width="12.28515625" bestFit="1" customWidth="1"/>
    <col min="2" max="2" width="15.42578125" bestFit="1" customWidth="1"/>
    <col min="3" max="3" width="20.28515625" bestFit="1" customWidth="1"/>
  </cols>
  <sheetData>
    <row r="1" spans="1:2">
      <c r="A1" s="13" t="s">
        <v>869</v>
      </c>
      <c r="B1" t="s">
        <v>873</v>
      </c>
    </row>
    <row r="2" spans="1:2">
      <c r="A2" s="14" t="s">
        <v>19</v>
      </c>
      <c r="B2">
        <v>10659</v>
      </c>
    </row>
    <row r="3" spans="1:2">
      <c r="A3" s="15" t="s">
        <v>851</v>
      </c>
      <c r="B3">
        <v>770</v>
      </c>
    </row>
    <row r="4" spans="1:2">
      <c r="A4" s="15" t="s">
        <v>855</v>
      </c>
      <c r="B4">
        <v>853</v>
      </c>
    </row>
    <row r="5" spans="1:2">
      <c r="A5" s="15" t="s">
        <v>856</v>
      </c>
      <c r="B5">
        <v>6376</v>
      </c>
    </row>
    <row r="6" spans="1:2">
      <c r="A6" s="16" t="s">
        <v>878</v>
      </c>
      <c r="B6">
        <v>6376</v>
      </c>
    </row>
    <row r="7" spans="1:2">
      <c r="A7" s="15" t="s">
        <v>859</v>
      </c>
      <c r="B7">
        <v>2660</v>
      </c>
    </row>
    <row r="8" spans="1:2">
      <c r="A8" s="14" t="s">
        <v>32</v>
      </c>
      <c r="B8">
        <v>5487</v>
      </c>
    </row>
    <row r="9" spans="1:2">
      <c r="A9" s="15" t="s">
        <v>852</v>
      </c>
      <c r="B9">
        <v>714</v>
      </c>
    </row>
    <row r="10" spans="1:2">
      <c r="A10" s="15" t="s">
        <v>853</v>
      </c>
      <c r="B10">
        <v>921</v>
      </c>
    </row>
    <row r="11" spans="1:2">
      <c r="A11" s="15" t="s">
        <v>854</v>
      </c>
      <c r="B11">
        <v>3852</v>
      </c>
    </row>
    <row r="12" spans="1:2">
      <c r="A12" s="14" t="s">
        <v>29</v>
      </c>
      <c r="B12">
        <v>6418</v>
      </c>
    </row>
    <row r="13" spans="1:2">
      <c r="A13" s="15" t="s">
        <v>855</v>
      </c>
      <c r="B13">
        <v>1843</v>
      </c>
    </row>
    <row r="14" spans="1:2">
      <c r="A14" s="15" t="s">
        <v>859</v>
      </c>
      <c r="B14">
        <v>870</v>
      </c>
    </row>
    <row r="15" spans="1:2">
      <c r="A15" s="15" t="s">
        <v>862</v>
      </c>
      <c r="B15">
        <v>3705</v>
      </c>
    </row>
    <row r="16" spans="1:2">
      <c r="A16" s="14" t="s">
        <v>12</v>
      </c>
      <c r="B16">
        <v>7751</v>
      </c>
    </row>
    <row r="17" spans="1:2">
      <c r="A17" s="15" t="s">
        <v>854</v>
      </c>
      <c r="B17">
        <v>6664</v>
      </c>
    </row>
    <row r="18" spans="1:2">
      <c r="A18" s="15" t="s">
        <v>859</v>
      </c>
      <c r="B18">
        <v>1087</v>
      </c>
    </row>
    <row r="19" spans="1:2">
      <c r="A19" s="14" t="s">
        <v>870</v>
      </c>
      <c r="B19">
        <v>30315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zoomScale="180" zoomScaleNormal="180" workbookViewId="0">
      <selection sqref="A1:XFD1048576"/>
    </sheetView>
  </sheetViews>
  <sheetFormatPr defaultColWidth="8.85546875" defaultRowHeight="15"/>
  <cols>
    <col min="1" max="1" width="8.85546875" style="4"/>
    <col min="2" max="3" width="25.140625" customWidth="1"/>
    <col min="12" max="12" width="14" customWidth="1"/>
    <col min="14" max="14" width="11" customWidth="1"/>
    <col min="18" max="18" width="10.28515625" bestFit="1" customWidth="1"/>
  </cols>
  <sheetData>
    <row r="1" spans="1:18" s="2" customFormat="1" ht="18">
      <c r="A1" s="3" t="s">
        <v>0</v>
      </c>
      <c r="B1" s="3" t="s">
        <v>1</v>
      </c>
      <c r="C1" s="3" t="s">
        <v>2</v>
      </c>
      <c r="D1" s="3" t="s">
        <v>3</v>
      </c>
      <c r="E1" s="3" t="s">
        <v>4</v>
      </c>
      <c r="F1" s="3" t="s">
        <v>5</v>
      </c>
      <c r="G1" s="3" t="s">
        <v>6</v>
      </c>
      <c r="H1" s="3" t="s">
        <v>7</v>
      </c>
      <c r="I1" s="3" t="s">
        <v>8</v>
      </c>
      <c r="J1" s="3" t="s">
        <v>9</v>
      </c>
      <c r="K1" s="2" t="s">
        <v>871</v>
      </c>
      <c r="L1" s="12" t="s">
        <v>872</v>
      </c>
      <c r="M1" s="5" t="s">
        <v>879</v>
      </c>
      <c r="N1" s="2" t="s">
        <v>868</v>
      </c>
      <c r="O1" s="2" t="s">
        <v>880</v>
      </c>
    </row>
    <row r="2" spans="1:18">
      <c r="A2" s="4">
        <v>100823</v>
      </c>
      <c r="B2" s="1">
        <v>45657</v>
      </c>
      <c r="C2" s="1">
        <v>45298</v>
      </c>
      <c r="D2" t="s">
        <v>303</v>
      </c>
      <c r="E2" t="s">
        <v>55</v>
      </c>
      <c r="F2">
        <v>4</v>
      </c>
      <c r="G2">
        <v>583</v>
      </c>
      <c r="H2">
        <v>2</v>
      </c>
      <c r="I2" t="s">
        <v>19</v>
      </c>
      <c r="J2" t="s">
        <v>26</v>
      </c>
      <c r="K2" s="6">
        <f t="shared" ref="K2:K65" si="0">F2*G2</f>
        <v>2332</v>
      </c>
      <c r="L2" s="6">
        <f>F2*G2*(1-H2)</f>
        <v>-2332</v>
      </c>
      <c r="M2" s="6">
        <f>_xlfn.XLOOKUP(E2, Products!A:A, Products!E:E)</f>
        <v>141</v>
      </c>
      <c r="N2" s="6">
        <f>F2*M2</f>
        <v>564</v>
      </c>
      <c r="O2" s="8">
        <f>L2-N2</f>
        <v>-2896</v>
      </c>
      <c r="P2" s="6">
        <f>SUM(O:O)</f>
        <v>-18083605</v>
      </c>
      <c r="Q2" s="8"/>
      <c r="R2" s="8"/>
    </row>
    <row r="3" spans="1:18">
      <c r="A3" s="4">
        <v>100023</v>
      </c>
      <c r="B3" s="1">
        <v>45655</v>
      </c>
      <c r="C3" s="1">
        <v>45300</v>
      </c>
      <c r="D3" t="s">
        <v>30</v>
      </c>
      <c r="E3" t="s">
        <v>57</v>
      </c>
      <c r="F3">
        <v>4</v>
      </c>
      <c r="G3">
        <v>557</v>
      </c>
      <c r="H3">
        <v>10</v>
      </c>
      <c r="I3" t="s">
        <v>32</v>
      </c>
      <c r="J3" t="s">
        <v>13</v>
      </c>
      <c r="K3" s="6">
        <f t="shared" si="0"/>
        <v>2228</v>
      </c>
      <c r="L3" s="6">
        <f t="shared" ref="L3:L66" si="1">F3*G3*(1-H3)</f>
        <v>-20052</v>
      </c>
      <c r="M3" s="6">
        <f>_xlfn.XLOOKUP(E3, Products!A:A, Products!E:E)</f>
        <v>270</v>
      </c>
      <c r="N3" s="6">
        <f t="shared" ref="N3:N66" si="2">F3*M3</f>
        <v>1080</v>
      </c>
      <c r="O3" s="8">
        <f t="shared" ref="O3:O66" si="3">L3-N3</f>
        <v>-21132</v>
      </c>
      <c r="P3" s="6"/>
      <c r="Q3" s="8"/>
      <c r="R3" s="8"/>
    </row>
    <row r="4" spans="1:18">
      <c r="A4" s="4">
        <v>100526</v>
      </c>
      <c r="B4" s="1">
        <v>45654</v>
      </c>
      <c r="C4" s="1">
        <v>45300</v>
      </c>
      <c r="D4" t="s">
        <v>271</v>
      </c>
      <c r="E4" t="s">
        <v>139</v>
      </c>
      <c r="F4">
        <v>4</v>
      </c>
      <c r="G4">
        <v>1736</v>
      </c>
      <c r="H4">
        <v>10</v>
      </c>
      <c r="I4" t="s">
        <v>19</v>
      </c>
      <c r="J4" t="s">
        <v>13</v>
      </c>
      <c r="K4" s="6">
        <f t="shared" si="0"/>
        <v>6944</v>
      </c>
      <c r="L4" s="6">
        <f t="shared" si="1"/>
        <v>-62496</v>
      </c>
      <c r="M4" s="6">
        <f>_xlfn.XLOOKUP(E4, Products!A:A, Products!E:E)</f>
        <v>280</v>
      </c>
      <c r="N4" s="6">
        <f t="shared" si="2"/>
        <v>1120</v>
      </c>
      <c r="O4" s="8">
        <f t="shared" si="3"/>
        <v>-63616</v>
      </c>
      <c r="P4" s="6"/>
      <c r="Q4" s="8"/>
      <c r="R4" s="8"/>
    </row>
    <row r="5" spans="1:18">
      <c r="A5" s="4">
        <v>100207</v>
      </c>
      <c r="B5" s="1">
        <v>45653</v>
      </c>
      <c r="C5" s="1">
        <v>45299</v>
      </c>
      <c r="D5" t="s">
        <v>192</v>
      </c>
      <c r="E5" t="s">
        <v>167</v>
      </c>
      <c r="F5">
        <v>4</v>
      </c>
      <c r="G5">
        <v>943</v>
      </c>
      <c r="H5">
        <v>10</v>
      </c>
      <c r="I5" t="s">
        <v>19</v>
      </c>
      <c r="J5" t="s">
        <v>13</v>
      </c>
      <c r="K5" s="6">
        <f t="shared" si="0"/>
        <v>3772</v>
      </c>
      <c r="L5" s="6">
        <f t="shared" si="1"/>
        <v>-33948</v>
      </c>
      <c r="M5" s="6">
        <f>_xlfn.XLOOKUP(E5, Products!A:A, Products!E:E)</f>
        <v>181</v>
      </c>
      <c r="N5" s="6">
        <f t="shared" si="2"/>
        <v>724</v>
      </c>
      <c r="O5" s="8">
        <f t="shared" si="3"/>
        <v>-34672</v>
      </c>
      <c r="P5" s="6"/>
      <c r="Q5" s="8"/>
      <c r="R5" s="8"/>
    </row>
    <row r="6" spans="1:18">
      <c r="A6" s="4">
        <v>100349</v>
      </c>
      <c r="B6" s="1">
        <v>45652</v>
      </c>
      <c r="C6" s="1">
        <v>45300</v>
      </c>
      <c r="D6" t="s">
        <v>202</v>
      </c>
      <c r="E6" t="s">
        <v>180</v>
      </c>
      <c r="F6">
        <v>4</v>
      </c>
      <c r="G6">
        <v>1811</v>
      </c>
      <c r="H6">
        <v>15</v>
      </c>
      <c r="I6" t="s">
        <v>29</v>
      </c>
      <c r="J6" t="s">
        <v>26</v>
      </c>
      <c r="K6" s="6">
        <f t="shared" si="0"/>
        <v>7244</v>
      </c>
      <c r="L6" s="6">
        <f t="shared" si="1"/>
        <v>-101416</v>
      </c>
      <c r="M6" s="6">
        <f>_xlfn.XLOOKUP(E6, Products!A:A, Products!E:E)</f>
        <v>81</v>
      </c>
      <c r="N6" s="6">
        <f t="shared" si="2"/>
        <v>324</v>
      </c>
      <c r="O6" s="8">
        <f t="shared" si="3"/>
        <v>-101740</v>
      </c>
      <c r="Q6" s="8"/>
      <c r="R6" s="8"/>
    </row>
    <row r="7" spans="1:18">
      <c r="A7" s="4">
        <v>100600</v>
      </c>
      <c r="B7" s="1">
        <v>45650</v>
      </c>
      <c r="C7" s="1">
        <v>45300</v>
      </c>
      <c r="D7" t="s">
        <v>373</v>
      </c>
      <c r="E7" t="s">
        <v>165</v>
      </c>
      <c r="F7">
        <v>4</v>
      </c>
      <c r="G7">
        <v>1396</v>
      </c>
      <c r="H7">
        <v>10</v>
      </c>
      <c r="I7" t="s">
        <v>12</v>
      </c>
      <c r="J7" t="s">
        <v>26</v>
      </c>
      <c r="K7" s="6">
        <f t="shared" si="0"/>
        <v>5584</v>
      </c>
      <c r="L7" s="6">
        <f t="shared" si="1"/>
        <v>-50256</v>
      </c>
      <c r="M7" s="6">
        <f>_xlfn.XLOOKUP(E7, Products!A:A, Products!E:E)</f>
        <v>241</v>
      </c>
      <c r="N7" s="6">
        <f t="shared" si="2"/>
        <v>964</v>
      </c>
      <c r="O7" s="8">
        <f t="shared" si="3"/>
        <v>-51220</v>
      </c>
      <c r="Q7" s="8"/>
      <c r="R7" s="8"/>
    </row>
    <row r="8" spans="1:18">
      <c r="A8" s="4">
        <v>100660</v>
      </c>
      <c r="B8" s="1">
        <v>45649</v>
      </c>
      <c r="C8" s="1">
        <v>45294</v>
      </c>
      <c r="D8" t="s">
        <v>385</v>
      </c>
      <c r="E8" t="s">
        <v>108</v>
      </c>
      <c r="F8">
        <v>4</v>
      </c>
      <c r="G8">
        <v>641</v>
      </c>
      <c r="H8">
        <v>15</v>
      </c>
      <c r="I8" t="s">
        <v>32</v>
      </c>
      <c r="J8" t="s">
        <v>13</v>
      </c>
      <c r="K8" s="6">
        <f t="shared" si="0"/>
        <v>2564</v>
      </c>
      <c r="L8" s="6">
        <f t="shared" si="1"/>
        <v>-35896</v>
      </c>
      <c r="M8" s="6">
        <f>_xlfn.XLOOKUP(E8, Products!A:A, Products!E:E)</f>
        <v>237</v>
      </c>
      <c r="N8" s="6">
        <f t="shared" si="2"/>
        <v>948</v>
      </c>
      <c r="O8" s="8">
        <f t="shared" si="3"/>
        <v>-36844</v>
      </c>
      <c r="Q8" s="8"/>
      <c r="R8" s="8"/>
    </row>
    <row r="9" spans="1:18">
      <c r="A9" s="4">
        <v>100611</v>
      </c>
      <c r="B9" s="1">
        <v>45645</v>
      </c>
      <c r="C9" s="1">
        <v>45294</v>
      </c>
      <c r="D9" t="s">
        <v>133</v>
      </c>
      <c r="E9" t="s">
        <v>334</v>
      </c>
      <c r="F9">
        <v>4</v>
      </c>
      <c r="G9">
        <v>430</v>
      </c>
      <c r="H9">
        <v>15</v>
      </c>
      <c r="I9" t="s">
        <v>29</v>
      </c>
      <c r="J9" t="s">
        <v>13</v>
      </c>
      <c r="K9" s="6">
        <f t="shared" si="0"/>
        <v>1720</v>
      </c>
      <c r="L9" s="6">
        <f t="shared" si="1"/>
        <v>-24080</v>
      </c>
      <c r="M9" s="6">
        <f>_xlfn.XLOOKUP(E9, Products!A:A, Products!E:E)</f>
        <v>93</v>
      </c>
      <c r="N9" s="6">
        <f t="shared" si="2"/>
        <v>372</v>
      </c>
      <c r="O9" s="8">
        <f t="shared" si="3"/>
        <v>-24452</v>
      </c>
      <c r="Q9" s="8"/>
      <c r="R9" s="8"/>
    </row>
    <row r="10" spans="1:18">
      <c r="A10" s="4">
        <v>100141</v>
      </c>
      <c r="B10" s="1">
        <v>45644</v>
      </c>
      <c r="C10" s="1">
        <v>45294</v>
      </c>
      <c r="D10" t="s">
        <v>20</v>
      </c>
      <c r="E10" t="s">
        <v>87</v>
      </c>
      <c r="F10">
        <v>4</v>
      </c>
      <c r="G10">
        <v>559</v>
      </c>
      <c r="H10">
        <v>15</v>
      </c>
      <c r="I10" t="s">
        <v>12</v>
      </c>
      <c r="J10" t="s">
        <v>16</v>
      </c>
      <c r="K10" s="6">
        <f t="shared" si="0"/>
        <v>2236</v>
      </c>
      <c r="L10" s="6">
        <f t="shared" si="1"/>
        <v>-31304</v>
      </c>
      <c r="M10" s="6">
        <f>_xlfn.XLOOKUP(E10, Products!A:A, Products!E:E)</f>
        <v>269</v>
      </c>
      <c r="N10" s="6">
        <f t="shared" si="2"/>
        <v>1076</v>
      </c>
      <c r="O10" s="8">
        <f t="shared" si="3"/>
        <v>-32380</v>
      </c>
      <c r="Q10" s="8"/>
      <c r="R10" s="8"/>
    </row>
    <row r="11" spans="1:18">
      <c r="A11" s="4">
        <v>100437</v>
      </c>
      <c r="B11" s="1">
        <v>45644</v>
      </c>
      <c r="C11" s="1">
        <v>45296</v>
      </c>
      <c r="D11" t="s">
        <v>213</v>
      </c>
      <c r="E11" t="s">
        <v>138</v>
      </c>
      <c r="F11">
        <v>4</v>
      </c>
      <c r="G11">
        <v>1846</v>
      </c>
      <c r="H11">
        <v>10</v>
      </c>
      <c r="I11" t="s">
        <v>29</v>
      </c>
      <c r="J11" t="s">
        <v>13</v>
      </c>
      <c r="K11" s="6">
        <f t="shared" si="0"/>
        <v>7384</v>
      </c>
      <c r="L11" s="6">
        <f t="shared" si="1"/>
        <v>-66456</v>
      </c>
      <c r="M11" s="6">
        <f>_xlfn.XLOOKUP(E11, Products!A:A, Products!E:E)</f>
        <v>186</v>
      </c>
      <c r="N11" s="6">
        <f t="shared" si="2"/>
        <v>744</v>
      </c>
      <c r="O11" s="8">
        <f t="shared" si="3"/>
        <v>-67200</v>
      </c>
      <c r="Q11" s="8"/>
      <c r="R11" s="8"/>
    </row>
    <row r="12" spans="1:18">
      <c r="A12" s="4">
        <v>100102</v>
      </c>
      <c r="B12" s="1">
        <v>45643</v>
      </c>
      <c r="C12" s="1">
        <v>45297</v>
      </c>
      <c r="D12" t="s">
        <v>168</v>
      </c>
      <c r="E12" t="s">
        <v>129</v>
      </c>
      <c r="F12">
        <v>4</v>
      </c>
      <c r="G12">
        <v>1449</v>
      </c>
      <c r="H12">
        <v>10</v>
      </c>
      <c r="I12" t="s">
        <v>19</v>
      </c>
      <c r="J12" t="s">
        <v>22</v>
      </c>
      <c r="K12" s="6">
        <f t="shared" si="0"/>
        <v>5796</v>
      </c>
      <c r="L12" s="6">
        <f t="shared" si="1"/>
        <v>-52164</v>
      </c>
      <c r="M12" s="6">
        <f>_xlfn.XLOOKUP(E12, Products!A:A, Products!E:E)</f>
        <v>171</v>
      </c>
      <c r="N12" s="6">
        <f t="shared" si="2"/>
        <v>684</v>
      </c>
      <c r="O12" s="8">
        <f t="shared" si="3"/>
        <v>-52848</v>
      </c>
      <c r="Q12" s="8"/>
      <c r="R12" s="8"/>
    </row>
    <row r="13" spans="1:18">
      <c r="A13" s="4">
        <v>100577</v>
      </c>
      <c r="B13" s="1">
        <v>45637</v>
      </c>
      <c r="C13" s="1">
        <v>45297</v>
      </c>
      <c r="D13" t="s">
        <v>239</v>
      </c>
      <c r="E13" t="s">
        <v>48</v>
      </c>
      <c r="F13">
        <v>4</v>
      </c>
      <c r="G13">
        <v>964</v>
      </c>
      <c r="H13">
        <v>10</v>
      </c>
      <c r="I13" t="s">
        <v>32</v>
      </c>
      <c r="J13" t="s">
        <v>13</v>
      </c>
      <c r="K13" s="6">
        <f t="shared" si="0"/>
        <v>3856</v>
      </c>
      <c r="L13" s="6">
        <f t="shared" si="1"/>
        <v>-34704</v>
      </c>
      <c r="M13" s="6">
        <f>_xlfn.XLOOKUP(E13, Products!A:A, Products!E:E)</f>
        <v>179</v>
      </c>
      <c r="N13" s="6">
        <f t="shared" si="2"/>
        <v>716</v>
      </c>
      <c r="O13" s="8">
        <f t="shared" si="3"/>
        <v>-35420</v>
      </c>
      <c r="Q13" s="8"/>
      <c r="R13" s="8"/>
    </row>
    <row r="14" spans="1:18">
      <c r="A14" s="4">
        <v>100136</v>
      </c>
      <c r="B14" s="1">
        <v>45633</v>
      </c>
      <c r="C14" s="1">
        <v>45300</v>
      </c>
      <c r="D14" t="s">
        <v>160</v>
      </c>
      <c r="E14" t="s">
        <v>99</v>
      </c>
      <c r="F14">
        <v>4</v>
      </c>
      <c r="G14">
        <v>1479</v>
      </c>
      <c r="H14">
        <v>5</v>
      </c>
      <c r="I14" t="s">
        <v>29</v>
      </c>
      <c r="J14" t="s">
        <v>13</v>
      </c>
      <c r="K14" s="6">
        <f t="shared" si="0"/>
        <v>5916</v>
      </c>
      <c r="L14" s="6">
        <f t="shared" si="1"/>
        <v>-23664</v>
      </c>
      <c r="M14" s="6">
        <f>_xlfn.XLOOKUP(E14, Products!A:A, Products!E:E)</f>
        <v>145</v>
      </c>
      <c r="N14" s="6">
        <f t="shared" si="2"/>
        <v>580</v>
      </c>
      <c r="O14" s="8">
        <f t="shared" si="3"/>
        <v>-24244</v>
      </c>
      <c r="Q14" s="8"/>
      <c r="R14" s="8"/>
    </row>
    <row r="15" spans="1:18">
      <c r="A15" s="4">
        <v>100212</v>
      </c>
      <c r="B15" s="1">
        <v>45632</v>
      </c>
      <c r="C15" s="1">
        <v>45296</v>
      </c>
      <c r="D15" t="s">
        <v>161</v>
      </c>
      <c r="E15" t="s">
        <v>217</v>
      </c>
      <c r="F15">
        <v>4</v>
      </c>
      <c r="G15">
        <v>1675</v>
      </c>
      <c r="H15">
        <v>15</v>
      </c>
      <c r="I15" t="s">
        <v>19</v>
      </c>
      <c r="J15" t="s">
        <v>16</v>
      </c>
      <c r="K15" s="6">
        <f t="shared" si="0"/>
        <v>6700</v>
      </c>
      <c r="L15" s="6">
        <f t="shared" si="1"/>
        <v>-93800</v>
      </c>
      <c r="M15" s="6">
        <f>_xlfn.XLOOKUP(E15, Products!A:A, Products!E:E)</f>
        <v>223</v>
      </c>
      <c r="N15" s="6">
        <f t="shared" si="2"/>
        <v>892</v>
      </c>
      <c r="O15" s="8">
        <f t="shared" si="3"/>
        <v>-94692</v>
      </c>
      <c r="Q15" s="8"/>
      <c r="R15" s="8"/>
    </row>
    <row r="16" spans="1:18">
      <c r="A16" s="4">
        <v>100854</v>
      </c>
      <c r="B16" s="1">
        <v>45632</v>
      </c>
      <c r="C16" s="1">
        <v>45294</v>
      </c>
      <c r="D16" t="s">
        <v>54</v>
      </c>
      <c r="E16" t="s">
        <v>126</v>
      </c>
      <c r="F16">
        <v>4</v>
      </c>
      <c r="G16">
        <v>787</v>
      </c>
      <c r="H16">
        <v>10</v>
      </c>
      <c r="I16" t="s">
        <v>12</v>
      </c>
      <c r="J16" t="s">
        <v>22</v>
      </c>
      <c r="K16" s="6">
        <f t="shared" si="0"/>
        <v>3148</v>
      </c>
      <c r="L16" s="6">
        <f t="shared" si="1"/>
        <v>-28332</v>
      </c>
      <c r="M16" s="6">
        <f>_xlfn.XLOOKUP(E16, Products!A:A, Products!E:E)</f>
        <v>177</v>
      </c>
      <c r="N16" s="6">
        <f t="shared" si="2"/>
        <v>708</v>
      </c>
      <c r="O16" s="8">
        <f t="shared" si="3"/>
        <v>-29040</v>
      </c>
      <c r="Q16" s="8"/>
      <c r="R16" s="8"/>
    </row>
    <row r="17" spans="1:18">
      <c r="A17" s="4">
        <v>100583</v>
      </c>
      <c r="B17" s="1">
        <v>45630</v>
      </c>
      <c r="C17" s="1">
        <v>45297</v>
      </c>
      <c r="D17" t="s">
        <v>218</v>
      </c>
      <c r="E17" t="s">
        <v>302</v>
      </c>
      <c r="F17">
        <v>4</v>
      </c>
      <c r="G17">
        <v>1623</v>
      </c>
      <c r="H17">
        <v>10</v>
      </c>
      <c r="I17" t="s">
        <v>32</v>
      </c>
      <c r="J17" t="s">
        <v>26</v>
      </c>
      <c r="K17" s="6">
        <f t="shared" si="0"/>
        <v>6492</v>
      </c>
      <c r="L17" s="6">
        <f t="shared" si="1"/>
        <v>-58428</v>
      </c>
      <c r="M17" s="6">
        <f>_xlfn.XLOOKUP(E17, Products!A:A, Products!E:E)</f>
        <v>175</v>
      </c>
      <c r="N17" s="6">
        <f t="shared" si="2"/>
        <v>700</v>
      </c>
      <c r="O17" s="8">
        <f t="shared" si="3"/>
        <v>-59128</v>
      </c>
      <c r="Q17" s="8"/>
      <c r="R17" s="8"/>
    </row>
    <row r="18" spans="1:18">
      <c r="A18" s="4">
        <v>100491</v>
      </c>
      <c r="B18" s="1">
        <v>45622</v>
      </c>
      <c r="C18" s="1">
        <v>45297</v>
      </c>
      <c r="D18" t="s">
        <v>246</v>
      </c>
      <c r="E18" t="s">
        <v>120</v>
      </c>
      <c r="F18">
        <v>4</v>
      </c>
      <c r="G18">
        <v>1929</v>
      </c>
      <c r="H18">
        <v>10</v>
      </c>
      <c r="I18" t="s">
        <v>12</v>
      </c>
      <c r="J18" t="s">
        <v>13</v>
      </c>
      <c r="K18" s="6">
        <f t="shared" si="0"/>
        <v>7716</v>
      </c>
      <c r="L18" s="6">
        <f t="shared" si="1"/>
        <v>-69444</v>
      </c>
      <c r="M18" s="6">
        <f>_xlfn.XLOOKUP(E18, Products!A:A, Products!E:E)</f>
        <v>52</v>
      </c>
      <c r="N18" s="6">
        <f t="shared" si="2"/>
        <v>208</v>
      </c>
      <c r="O18" s="8">
        <f t="shared" si="3"/>
        <v>-69652</v>
      </c>
      <c r="Q18" s="8"/>
      <c r="R18" s="8"/>
    </row>
    <row r="19" spans="1:18">
      <c r="A19" s="4">
        <v>100092</v>
      </c>
      <c r="B19" s="1">
        <v>45621</v>
      </c>
      <c r="C19" s="1">
        <v>45294</v>
      </c>
      <c r="D19" t="s">
        <v>155</v>
      </c>
      <c r="E19" t="s">
        <v>156</v>
      </c>
      <c r="F19">
        <v>4</v>
      </c>
      <c r="G19">
        <v>367</v>
      </c>
      <c r="H19">
        <v>0</v>
      </c>
      <c r="I19" t="s">
        <v>12</v>
      </c>
      <c r="J19" t="s">
        <v>22</v>
      </c>
      <c r="K19" s="6">
        <f t="shared" si="0"/>
        <v>1468</v>
      </c>
      <c r="L19" s="6">
        <f t="shared" si="1"/>
        <v>1468</v>
      </c>
      <c r="M19" s="6">
        <f>_xlfn.XLOOKUP(E19, Products!A:A, Products!E:E)</f>
        <v>168</v>
      </c>
      <c r="N19" s="6">
        <f t="shared" si="2"/>
        <v>672</v>
      </c>
      <c r="O19" s="8">
        <f t="shared" si="3"/>
        <v>796</v>
      </c>
      <c r="Q19" s="8"/>
      <c r="R19" s="8"/>
    </row>
    <row r="20" spans="1:18">
      <c r="A20" s="4">
        <v>100196</v>
      </c>
      <c r="B20" s="1">
        <v>45619</v>
      </c>
      <c r="C20" s="1">
        <v>45294</v>
      </c>
      <c r="D20" t="s">
        <v>70</v>
      </c>
      <c r="E20" t="s">
        <v>77</v>
      </c>
      <c r="F20">
        <v>4</v>
      </c>
      <c r="G20">
        <v>1944</v>
      </c>
      <c r="H20">
        <v>0</v>
      </c>
      <c r="I20" t="s">
        <v>19</v>
      </c>
      <c r="J20" t="s">
        <v>22</v>
      </c>
      <c r="K20" s="6">
        <f t="shared" si="0"/>
        <v>7776</v>
      </c>
      <c r="L20" s="6">
        <f t="shared" si="1"/>
        <v>7776</v>
      </c>
      <c r="M20" s="6">
        <f>_xlfn.XLOOKUP(E20, Products!A:A, Products!E:E)</f>
        <v>94</v>
      </c>
      <c r="N20" s="6">
        <f t="shared" si="2"/>
        <v>376</v>
      </c>
      <c r="O20" s="8">
        <f t="shared" si="3"/>
        <v>7400</v>
      </c>
      <c r="Q20" s="8"/>
      <c r="R20" s="8"/>
    </row>
    <row r="21" spans="1:18">
      <c r="A21" s="4">
        <v>100369</v>
      </c>
      <c r="B21" s="1">
        <v>45619</v>
      </c>
      <c r="C21" s="1">
        <v>45299</v>
      </c>
      <c r="D21" t="s">
        <v>237</v>
      </c>
      <c r="E21" t="s">
        <v>115</v>
      </c>
      <c r="F21">
        <v>4</v>
      </c>
      <c r="G21">
        <v>833</v>
      </c>
      <c r="H21">
        <v>15</v>
      </c>
      <c r="I21" t="s">
        <v>19</v>
      </c>
      <c r="J21" t="s">
        <v>13</v>
      </c>
      <c r="K21" s="6">
        <f t="shared" si="0"/>
        <v>3332</v>
      </c>
      <c r="L21" s="6">
        <f t="shared" si="1"/>
        <v>-46648</v>
      </c>
      <c r="M21" s="6">
        <f>_xlfn.XLOOKUP(E21, Products!A:A, Products!E:E)</f>
        <v>211</v>
      </c>
      <c r="N21" s="6">
        <f t="shared" si="2"/>
        <v>844</v>
      </c>
      <c r="O21" s="8">
        <f t="shared" si="3"/>
        <v>-47492</v>
      </c>
      <c r="Q21" s="8"/>
      <c r="R21" s="8"/>
    </row>
    <row r="22" spans="1:18">
      <c r="A22" s="4">
        <v>100904</v>
      </c>
      <c r="B22" s="1">
        <v>45612</v>
      </c>
      <c r="C22" s="1">
        <v>45299</v>
      </c>
      <c r="D22" t="s">
        <v>362</v>
      </c>
      <c r="E22" t="s">
        <v>209</v>
      </c>
      <c r="F22">
        <v>4</v>
      </c>
      <c r="G22">
        <v>1351</v>
      </c>
      <c r="H22">
        <v>10</v>
      </c>
      <c r="I22" t="s">
        <v>32</v>
      </c>
      <c r="J22" t="s">
        <v>13</v>
      </c>
      <c r="K22" s="6">
        <f t="shared" si="0"/>
        <v>5404</v>
      </c>
      <c r="L22" s="6">
        <f t="shared" si="1"/>
        <v>-48636</v>
      </c>
      <c r="M22" s="6">
        <f>_xlfn.XLOOKUP(E22, Products!A:A, Products!E:E)</f>
        <v>53</v>
      </c>
      <c r="N22" s="6">
        <f t="shared" si="2"/>
        <v>212</v>
      </c>
      <c r="O22" s="8">
        <f t="shared" si="3"/>
        <v>-48848</v>
      </c>
      <c r="Q22" s="8"/>
      <c r="R22" s="8"/>
    </row>
    <row r="23" spans="1:18">
      <c r="A23" s="4">
        <v>100360</v>
      </c>
      <c r="B23" s="1">
        <v>45611</v>
      </c>
      <c r="C23" s="1">
        <v>45296</v>
      </c>
      <c r="D23" t="s">
        <v>106</v>
      </c>
      <c r="E23" t="s">
        <v>120</v>
      </c>
      <c r="F23">
        <v>4</v>
      </c>
      <c r="G23">
        <v>1401</v>
      </c>
      <c r="H23">
        <v>15</v>
      </c>
      <c r="I23" t="s">
        <v>29</v>
      </c>
      <c r="J23" t="s">
        <v>13</v>
      </c>
      <c r="K23" s="6">
        <f t="shared" si="0"/>
        <v>5604</v>
      </c>
      <c r="L23" s="6">
        <f t="shared" si="1"/>
        <v>-78456</v>
      </c>
      <c r="M23" s="6">
        <f>_xlfn.XLOOKUP(E23, Products!A:A, Products!E:E)</f>
        <v>52</v>
      </c>
      <c r="N23" s="6">
        <f t="shared" si="2"/>
        <v>208</v>
      </c>
      <c r="O23" s="8">
        <f t="shared" si="3"/>
        <v>-78664</v>
      </c>
      <c r="Q23" s="8"/>
      <c r="R23" s="8"/>
    </row>
    <row r="24" spans="1:18">
      <c r="A24" s="4">
        <v>100507</v>
      </c>
      <c r="B24" s="1">
        <v>45610</v>
      </c>
      <c r="C24" s="1">
        <v>45295</v>
      </c>
      <c r="D24" t="s">
        <v>10</v>
      </c>
      <c r="E24" t="s">
        <v>247</v>
      </c>
      <c r="F24">
        <v>4</v>
      </c>
      <c r="G24">
        <v>881</v>
      </c>
      <c r="H24">
        <v>0</v>
      </c>
      <c r="I24" t="s">
        <v>12</v>
      </c>
      <c r="J24" t="s">
        <v>22</v>
      </c>
      <c r="K24" s="6">
        <f t="shared" si="0"/>
        <v>3524</v>
      </c>
      <c r="L24" s="6">
        <f t="shared" si="1"/>
        <v>3524</v>
      </c>
      <c r="M24" s="6">
        <f>_xlfn.XLOOKUP(E24, Products!A:A, Products!E:E)</f>
        <v>70</v>
      </c>
      <c r="N24" s="6">
        <f t="shared" si="2"/>
        <v>280</v>
      </c>
      <c r="O24" s="8">
        <f t="shared" si="3"/>
        <v>3244</v>
      </c>
      <c r="Q24" s="8"/>
      <c r="R24" s="8"/>
    </row>
    <row r="25" spans="1:18">
      <c r="A25" s="4">
        <v>100127</v>
      </c>
      <c r="B25" s="1">
        <v>45609</v>
      </c>
      <c r="C25" s="1">
        <v>45299</v>
      </c>
      <c r="D25" t="s">
        <v>193</v>
      </c>
      <c r="E25" t="s">
        <v>63</v>
      </c>
      <c r="F25">
        <v>4</v>
      </c>
      <c r="G25">
        <v>1575</v>
      </c>
      <c r="H25">
        <v>15</v>
      </c>
      <c r="I25" t="s">
        <v>32</v>
      </c>
      <c r="J25" t="s">
        <v>16</v>
      </c>
      <c r="K25" s="6">
        <f t="shared" si="0"/>
        <v>6300</v>
      </c>
      <c r="L25" s="6">
        <f t="shared" si="1"/>
        <v>-88200</v>
      </c>
      <c r="M25" s="6">
        <f>_xlfn.XLOOKUP(E25, Products!A:A, Products!E:E)</f>
        <v>294</v>
      </c>
      <c r="N25" s="6">
        <f t="shared" si="2"/>
        <v>1176</v>
      </c>
      <c r="O25" s="8">
        <f t="shared" si="3"/>
        <v>-89376</v>
      </c>
      <c r="Q25" s="8"/>
      <c r="R25" s="8"/>
    </row>
    <row r="26" spans="1:18">
      <c r="A26" s="4">
        <v>100817</v>
      </c>
      <c r="B26" s="1">
        <v>45607</v>
      </c>
      <c r="C26" s="1">
        <v>45300</v>
      </c>
      <c r="D26" t="s">
        <v>383</v>
      </c>
      <c r="E26" t="s">
        <v>15</v>
      </c>
      <c r="F26">
        <v>4</v>
      </c>
      <c r="G26">
        <v>762</v>
      </c>
      <c r="H26">
        <v>15</v>
      </c>
      <c r="I26" t="s">
        <v>12</v>
      </c>
      <c r="J26" t="s">
        <v>26</v>
      </c>
      <c r="K26" s="6">
        <f t="shared" si="0"/>
        <v>3048</v>
      </c>
      <c r="L26" s="6">
        <f t="shared" si="1"/>
        <v>-42672</v>
      </c>
      <c r="M26" s="6">
        <f>_xlfn.XLOOKUP(E26, Products!A:A, Products!E:E)</f>
        <v>242</v>
      </c>
      <c r="N26" s="6">
        <f t="shared" si="2"/>
        <v>968</v>
      </c>
      <c r="O26" s="8">
        <f t="shared" si="3"/>
        <v>-43640</v>
      </c>
      <c r="Q26" s="8"/>
      <c r="R26" s="8"/>
    </row>
    <row r="27" spans="1:18">
      <c r="A27" s="4">
        <v>100342</v>
      </c>
      <c r="B27" s="1">
        <v>45602</v>
      </c>
      <c r="C27" s="1">
        <v>45295</v>
      </c>
      <c r="D27" t="s">
        <v>146</v>
      </c>
      <c r="E27" t="s">
        <v>181</v>
      </c>
      <c r="F27">
        <v>4</v>
      </c>
      <c r="G27">
        <v>621</v>
      </c>
      <c r="H27">
        <v>0</v>
      </c>
      <c r="I27" t="s">
        <v>19</v>
      </c>
      <c r="J27" t="s">
        <v>26</v>
      </c>
      <c r="K27" s="6">
        <f t="shared" si="0"/>
        <v>2484</v>
      </c>
      <c r="L27" s="6">
        <f t="shared" si="1"/>
        <v>2484</v>
      </c>
      <c r="M27" s="6">
        <f>_xlfn.XLOOKUP(E27, Products!A:A, Products!E:E)</f>
        <v>72</v>
      </c>
      <c r="N27" s="6">
        <f t="shared" si="2"/>
        <v>288</v>
      </c>
      <c r="O27" s="8">
        <f t="shared" si="3"/>
        <v>2196</v>
      </c>
      <c r="Q27" s="8"/>
      <c r="R27" s="8"/>
    </row>
    <row r="28" spans="1:18">
      <c r="A28" s="4">
        <v>100390</v>
      </c>
      <c r="B28" s="1">
        <v>45600</v>
      </c>
      <c r="C28" s="1">
        <v>45296</v>
      </c>
      <c r="D28" t="s">
        <v>161</v>
      </c>
      <c r="E28" t="s">
        <v>178</v>
      </c>
      <c r="F28">
        <v>4</v>
      </c>
      <c r="G28">
        <v>1715</v>
      </c>
      <c r="H28">
        <v>15</v>
      </c>
      <c r="I28" t="s">
        <v>12</v>
      </c>
      <c r="J28" t="s">
        <v>16</v>
      </c>
      <c r="K28" s="6">
        <f t="shared" si="0"/>
        <v>6860</v>
      </c>
      <c r="L28" s="6">
        <f t="shared" si="1"/>
        <v>-96040</v>
      </c>
      <c r="M28" s="6">
        <f>_xlfn.XLOOKUP(E28, Products!A:A, Products!E:E)</f>
        <v>121</v>
      </c>
      <c r="N28" s="6">
        <f t="shared" si="2"/>
        <v>484</v>
      </c>
      <c r="O28" s="8">
        <f t="shared" si="3"/>
        <v>-96524</v>
      </c>
      <c r="Q28" s="8"/>
      <c r="R28" s="8"/>
    </row>
    <row r="29" spans="1:18">
      <c r="A29" s="4">
        <v>100637</v>
      </c>
      <c r="B29" s="1">
        <v>45600</v>
      </c>
      <c r="C29" s="1">
        <v>45298</v>
      </c>
      <c r="D29" t="s">
        <v>282</v>
      </c>
      <c r="E29" t="s">
        <v>115</v>
      </c>
      <c r="F29">
        <v>4</v>
      </c>
      <c r="G29">
        <v>1685</v>
      </c>
      <c r="H29">
        <v>15</v>
      </c>
      <c r="I29" t="s">
        <v>32</v>
      </c>
      <c r="J29" t="s">
        <v>22</v>
      </c>
      <c r="K29" s="6">
        <f t="shared" si="0"/>
        <v>6740</v>
      </c>
      <c r="L29" s="6">
        <f t="shared" si="1"/>
        <v>-94360</v>
      </c>
      <c r="M29" s="6">
        <f>_xlfn.XLOOKUP(E29, Products!A:A, Products!E:E)</f>
        <v>211</v>
      </c>
      <c r="N29" s="6">
        <f t="shared" si="2"/>
        <v>844</v>
      </c>
      <c r="O29" s="8">
        <f t="shared" si="3"/>
        <v>-95204</v>
      </c>
      <c r="Q29" s="8"/>
      <c r="R29" s="8"/>
    </row>
    <row r="30" spans="1:18">
      <c r="A30" s="4">
        <v>100632</v>
      </c>
      <c r="B30" s="1">
        <v>45600</v>
      </c>
      <c r="C30" s="1">
        <v>45302</v>
      </c>
      <c r="D30" t="s">
        <v>70</v>
      </c>
      <c r="E30" t="s">
        <v>68</v>
      </c>
      <c r="F30">
        <v>4</v>
      </c>
      <c r="G30">
        <v>1608</v>
      </c>
      <c r="H30">
        <v>0</v>
      </c>
      <c r="I30" t="s">
        <v>32</v>
      </c>
      <c r="J30" t="s">
        <v>16</v>
      </c>
      <c r="K30" s="6">
        <f t="shared" si="0"/>
        <v>6432</v>
      </c>
      <c r="L30" s="6">
        <f t="shared" si="1"/>
        <v>6432</v>
      </c>
      <c r="M30" s="6">
        <f>_xlfn.XLOOKUP(E30, Products!A:A, Products!E:E)</f>
        <v>295</v>
      </c>
      <c r="N30" s="6">
        <f t="shared" si="2"/>
        <v>1180</v>
      </c>
      <c r="O30" s="8">
        <f t="shared" si="3"/>
        <v>5252</v>
      </c>
      <c r="Q30" s="8"/>
      <c r="R30" s="8"/>
    </row>
    <row r="31" spans="1:18">
      <c r="A31" s="4">
        <v>100895</v>
      </c>
      <c r="B31" s="1">
        <v>45599</v>
      </c>
      <c r="C31" s="1">
        <v>45299</v>
      </c>
      <c r="D31" t="s">
        <v>60</v>
      </c>
      <c r="E31" t="s">
        <v>212</v>
      </c>
      <c r="F31">
        <v>4</v>
      </c>
      <c r="G31">
        <v>914</v>
      </c>
      <c r="H31">
        <v>15</v>
      </c>
      <c r="I31" t="s">
        <v>19</v>
      </c>
      <c r="J31" t="s">
        <v>13</v>
      </c>
      <c r="K31" s="6">
        <f t="shared" si="0"/>
        <v>3656</v>
      </c>
      <c r="L31" s="6">
        <f t="shared" si="1"/>
        <v>-51184</v>
      </c>
      <c r="M31" s="6">
        <f>_xlfn.XLOOKUP(E31, Products!A:A, Products!E:E)</f>
        <v>196</v>
      </c>
      <c r="N31" s="6">
        <f t="shared" si="2"/>
        <v>784</v>
      </c>
      <c r="O31" s="8">
        <f t="shared" si="3"/>
        <v>-51968</v>
      </c>
      <c r="Q31" s="8"/>
      <c r="R31" s="8"/>
    </row>
    <row r="32" spans="1:18">
      <c r="A32" s="4">
        <v>100522</v>
      </c>
      <c r="B32" s="1">
        <v>45599</v>
      </c>
      <c r="C32" s="1">
        <v>45297</v>
      </c>
      <c r="D32" t="s">
        <v>333</v>
      </c>
      <c r="E32" t="s">
        <v>103</v>
      </c>
      <c r="F32">
        <v>4</v>
      </c>
      <c r="G32">
        <v>1992</v>
      </c>
      <c r="H32">
        <v>0</v>
      </c>
      <c r="I32" t="s">
        <v>29</v>
      </c>
      <c r="J32" t="s">
        <v>26</v>
      </c>
      <c r="K32" s="6">
        <f t="shared" si="0"/>
        <v>7968</v>
      </c>
      <c r="L32" s="6">
        <f t="shared" si="1"/>
        <v>7968</v>
      </c>
      <c r="M32" s="6">
        <f>_xlfn.XLOOKUP(E32, Products!A:A, Products!E:E)</f>
        <v>185</v>
      </c>
      <c r="N32" s="6">
        <f t="shared" si="2"/>
        <v>740</v>
      </c>
      <c r="O32" s="8">
        <f t="shared" si="3"/>
        <v>7228</v>
      </c>
      <c r="Q32" s="8"/>
      <c r="R32" s="8"/>
    </row>
    <row r="33" spans="1:18">
      <c r="A33" s="4">
        <v>100373</v>
      </c>
      <c r="B33" s="1">
        <v>45598</v>
      </c>
      <c r="C33" s="1">
        <v>45295</v>
      </c>
      <c r="D33" t="s">
        <v>326</v>
      </c>
      <c r="E33" t="s">
        <v>265</v>
      </c>
      <c r="F33">
        <v>4</v>
      </c>
      <c r="G33">
        <v>1961</v>
      </c>
      <c r="H33">
        <v>15</v>
      </c>
      <c r="I33" t="s">
        <v>32</v>
      </c>
      <c r="J33" t="s">
        <v>22</v>
      </c>
      <c r="K33" s="6">
        <f t="shared" si="0"/>
        <v>7844</v>
      </c>
      <c r="L33" s="6">
        <f t="shared" si="1"/>
        <v>-109816</v>
      </c>
      <c r="M33" s="6">
        <f>_xlfn.XLOOKUP(E33, Products!A:A, Products!E:E)</f>
        <v>218</v>
      </c>
      <c r="N33" s="6">
        <f t="shared" si="2"/>
        <v>872</v>
      </c>
      <c r="O33" s="8">
        <f t="shared" si="3"/>
        <v>-110688</v>
      </c>
      <c r="Q33" s="8"/>
      <c r="R33" s="8"/>
    </row>
    <row r="34" spans="1:18">
      <c r="A34" s="4">
        <v>100150</v>
      </c>
      <c r="B34" s="1">
        <v>45594</v>
      </c>
      <c r="C34" s="1">
        <v>45298</v>
      </c>
      <c r="D34" t="s">
        <v>215</v>
      </c>
      <c r="E34" t="s">
        <v>11</v>
      </c>
      <c r="F34">
        <v>4</v>
      </c>
      <c r="G34">
        <v>455</v>
      </c>
      <c r="H34">
        <v>0</v>
      </c>
      <c r="I34" t="s">
        <v>12</v>
      </c>
      <c r="J34" t="s">
        <v>26</v>
      </c>
      <c r="K34" s="6">
        <f t="shared" si="0"/>
        <v>1820</v>
      </c>
      <c r="L34" s="6">
        <f t="shared" si="1"/>
        <v>1820</v>
      </c>
      <c r="M34" s="6">
        <f>_xlfn.XLOOKUP(E34, Products!A:A, Products!E:E)</f>
        <v>144</v>
      </c>
      <c r="N34" s="6">
        <f t="shared" si="2"/>
        <v>576</v>
      </c>
      <c r="O34" s="8">
        <f t="shared" si="3"/>
        <v>1244</v>
      </c>
      <c r="Q34" s="8"/>
      <c r="R34" s="8"/>
    </row>
    <row r="35" spans="1:18">
      <c r="A35" s="4">
        <v>100708</v>
      </c>
      <c r="B35" s="1">
        <v>45592</v>
      </c>
      <c r="C35" s="1">
        <v>45301</v>
      </c>
      <c r="D35" t="s">
        <v>373</v>
      </c>
      <c r="E35" t="s">
        <v>59</v>
      </c>
      <c r="F35">
        <v>4</v>
      </c>
      <c r="G35">
        <v>838</v>
      </c>
      <c r="H35">
        <v>15</v>
      </c>
      <c r="I35" t="s">
        <v>19</v>
      </c>
      <c r="J35" t="s">
        <v>13</v>
      </c>
      <c r="K35" s="6">
        <f t="shared" si="0"/>
        <v>3352</v>
      </c>
      <c r="L35" s="6">
        <f t="shared" si="1"/>
        <v>-46928</v>
      </c>
      <c r="M35" s="6">
        <f>_xlfn.XLOOKUP(E35, Products!A:A, Products!E:E)</f>
        <v>116</v>
      </c>
      <c r="N35" s="6">
        <f t="shared" si="2"/>
        <v>464</v>
      </c>
      <c r="O35" s="8">
        <f t="shared" si="3"/>
        <v>-47392</v>
      </c>
      <c r="Q35" s="8"/>
      <c r="R35" s="8"/>
    </row>
    <row r="36" spans="1:18">
      <c r="A36" s="4">
        <v>100747</v>
      </c>
      <c r="B36" s="1">
        <v>45592</v>
      </c>
      <c r="C36" s="1">
        <v>45294</v>
      </c>
      <c r="D36" t="s">
        <v>191</v>
      </c>
      <c r="E36" t="s">
        <v>158</v>
      </c>
      <c r="F36">
        <v>4</v>
      </c>
      <c r="G36">
        <v>849</v>
      </c>
      <c r="H36">
        <v>15</v>
      </c>
      <c r="I36" t="s">
        <v>19</v>
      </c>
      <c r="J36" t="s">
        <v>22</v>
      </c>
      <c r="K36" s="6">
        <f t="shared" si="0"/>
        <v>3396</v>
      </c>
      <c r="L36" s="6">
        <f t="shared" si="1"/>
        <v>-47544</v>
      </c>
      <c r="M36" s="6">
        <f>_xlfn.XLOOKUP(E36, Products!A:A, Products!E:E)</f>
        <v>281</v>
      </c>
      <c r="N36" s="6">
        <f t="shared" si="2"/>
        <v>1124</v>
      </c>
      <c r="O36" s="8">
        <f t="shared" si="3"/>
        <v>-48668</v>
      </c>
      <c r="Q36" s="8"/>
      <c r="R36" s="8"/>
    </row>
    <row r="37" spans="1:18">
      <c r="A37" s="4">
        <v>100828</v>
      </c>
      <c r="B37" s="1">
        <v>45589</v>
      </c>
      <c r="C37" s="1">
        <v>45295</v>
      </c>
      <c r="D37" t="s">
        <v>234</v>
      </c>
      <c r="E37" t="s">
        <v>165</v>
      </c>
      <c r="F37">
        <v>4</v>
      </c>
      <c r="G37">
        <v>334</v>
      </c>
      <c r="H37">
        <v>0</v>
      </c>
      <c r="I37" t="s">
        <v>12</v>
      </c>
      <c r="J37" t="s">
        <v>16</v>
      </c>
      <c r="K37" s="6">
        <f t="shared" si="0"/>
        <v>1336</v>
      </c>
      <c r="L37" s="6">
        <f t="shared" si="1"/>
        <v>1336</v>
      </c>
      <c r="M37" s="6">
        <f>_xlfn.XLOOKUP(E37, Products!A:A, Products!E:E)</f>
        <v>241</v>
      </c>
      <c r="N37" s="6">
        <f t="shared" si="2"/>
        <v>964</v>
      </c>
      <c r="O37" s="8">
        <f t="shared" si="3"/>
        <v>372</v>
      </c>
      <c r="Q37" s="8"/>
      <c r="R37" s="8"/>
    </row>
    <row r="38" spans="1:18">
      <c r="A38" s="4">
        <v>100018</v>
      </c>
      <c r="B38" s="1">
        <v>45586</v>
      </c>
      <c r="C38" s="1">
        <v>45299</v>
      </c>
      <c r="D38" t="s">
        <v>51</v>
      </c>
      <c r="E38" t="s">
        <v>50</v>
      </c>
      <c r="F38">
        <v>4</v>
      </c>
      <c r="G38">
        <v>352</v>
      </c>
      <c r="H38">
        <v>5</v>
      </c>
      <c r="I38" t="s">
        <v>29</v>
      </c>
      <c r="J38" t="s">
        <v>22</v>
      </c>
      <c r="K38" s="6">
        <f t="shared" si="0"/>
        <v>1408</v>
      </c>
      <c r="L38" s="6">
        <f t="shared" si="1"/>
        <v>-5632</v>
      </c>
      <c r="M38" s="6">
        <f>_xlfn.XLOOKUP(E38, Products!A:A, Products!E:E)</f>
        <v>218</v>
      </c>
      <c r="N38" s="6">
        <f t="shared" si="2"/>
        <v>872</v>
      </c>
      <c r="O38" s="8">
        <f t="shared" si="3"/>
        <v>-6504</v>
      </c>
      <c r="Q38" s="8"/>
      <c r="R38" s="8"/>
    </row>
    <row r="39" spans="1:18">
      <c r="A39" s="4">
        <v>100561</v>
      </c>
      <c r="B39" s="1">
        <v>45585</v>
      </c>
      <c r="C39" s="1">
        <v>45298</v>
      </c>
      <c r="D39" t="s">
        <v>310</v>
      </c>
      <c r="E39" t="s">
        <v>212</v>
      </c>
      <c r="F39">
        <v>4</v>
      </c>
      <c r="G39">
        <v>726</v>
      </c>
      <c r="H39">
        <v>5</v>
      </c>
      <c r="I39" t="s">
        <v>19</v>
      </c>
      <c r="J39" t="s">
        <v>13</v>
      </c>
      <c r="K39" s="6">
        <f t="shared" si="0"/>
        <v>2904</v>
      </c>
      <c r="L39" s="6">
        <f t="shared" si="1"/>
        <v>-11616</v>
      </c>
      <c r="M39" s="6">
        <f>_xlfn.XLOOKUP(E39, Products!A:A, Products!E:E)</f>
        <v>196</v>
      </c>
      <c r="N39" s="6">
        <f t="shared" si="2"/>
        <v>784</v>
      </c>
      <c r="O39" s="8">
        <f t="shared" si="3"/>
        <v>-12400</v>
      </c>
      <c r="Q39" s="8"/>
      <c r="R39" s="8"/>
    </row>
    <row r="40" spans="1:18">
      <c r="A40" s="4">
        <v>100571</v>
      </c>
      <c r="B40" s="1">
        <v>45585</v>
      </c>
      <c r="C40" s="1">
        <v>45302</v>
      </c>
      <c r="D40" t="s">
        <v>121</v>
      </c>
      <c r="E40" t="s">
        <v>158</v>
      </c>
      <c r="F40">
        <v>4</v>
      </c>
      <c r="G40">
        <v>1891</v>
      </c>
      <c r="H40">
        <v>15</v>
      </c>
      <c r="I40" t="s">
        <v>32</v>
      </c>
      <c r="J40" t="s">
        <v>22</v>
      </c>
      <c r="K40" s="6">
        <f t="shared" si="0"/>
        <v>7564</v>
      </c>
      <c r="L40" s="6">
        <f t="shared" si="1"/>
        <v>-105896</v>
      </c>
      <c r="M40" s="6">
        <f>_xlfn.XLOOKUP(E40, Products!A:A, Products!E:E)</f>
        <v>281</v>
      </c>
      <c r="N40" s="6">
        <f t="shared" si="2"/>
        <v>1124</v>
      </c>
      <c r="O40" s="8">
        <f t="shared" si="3"/>
        <v>-107020</v>
      </c>
      <c r="Q40" s="8"/>
      <c r="R40" s="8"/>
    </row>
    <row r="41" spans="1:18">
      <c r="A41" s="4">
        <v>100322</v>
      </c>
      <c r="B41" s="1">
        <v>45582</v>
      </c>
      <c r="C41" s="1">
        <v>45295</v>
      </c>
      <c r="D41" t="s">
        <v>306</v>
      </c>
      <c r="E41" t="s">
        <v>57</v>
      </c>
      <c r="F41">
        <v>4</v>
      </c>
      <c r="G41">
        <v>1697</v>
      </c>
      <c r="H41">
        <v>5</v>
      </c>
      <c r="I41" t="s">
        <v>29</v>
      </c>
      <c r="J41" t="s">
        <v>16</v>
      </c>
      <c r="K41" s="6">
        <f t="shared" si="0"/>
        <v>6788</v>
      </c>
      <c r="L41" s="6">
        <f t="shared" si="1"/>
        <v>-27152</v>
      </c>
      <c r="M41" s="6">
        <f>_xlfn.XLOOKUP(E41, Products!A:A, Products!E:E)</f>
        <v>270</v>
      </c>
      <c r="N41" s="6">
        <f t="shared" si="2"/>
        <v>1080</v>
      </c>
      <c r="O41" s="8">
        <f t="shared" si="3"/>
        <v>-28232</v>
      </c>
      <c r="Q41" s="8"/>
      <c r="R41" s="8"/>
    </row>
    <row r="42" spans="1:18">
      <c r="A42" s="4">
        <v>100720</v>
      </c>
      <c r="B42" s="1">
        <v>45580</v>
      </c>
      <c r="C42" s="1">
        <v>45301</v>
      </c>
      <c r="D42" t="s">
        <v>323</v>
      </c>
      <c r="E42" t="s">
        <v>176</v>
      </c>
      <c r="F42">
        <v>4</v>
      </c>
      <c r="G42">
        <v>1948</v>
      </c>
      <c r="H42">
        <v>0</v>
      </c>
      <c r="I42" t="s">
        <v>19</v>
      </c>
      <c r="J42" t="s">
        <v>26</v>
      </c>
      <c r="K42" s="6">
        <f t="shared" si="0"/>
        <v>7792</v>
      </c>
      <c r="L42" s="6">
        <f t="shared" si="1"/>
        <v>7792</v>
      </c>
      <c r="M42" s="6">
        <f>_xlfn.XLOOKUP(E42, Products!A:A, Products!E:E)</f>
        <v>61</v>
      </c>
      <c r="N42" s="6">
        <f t="shared" si="2"/>
        <v>244</v>
      </c>
      <c r="O42" s="8">
        <f t="shared" si="3"/>
        <v>7548</v>
      </c>
      <c r="Q42" s="8"/>
      <c r="R42" s="8"/>
    </row>
    <row r="43" spans="1:18">
      <c r="A43" s="4">
        <v>100889</v>
      </c>
      <c r="B43" s="1">
        <v>45580</v>
      </c>
      <c r="C43" s="1">
        <v>45300</v>
      </c>
      <c r="D43" t="s">
        <v>74</v>
      </c>
      <c r="E43" t="s">
        <v>63</v>
      </c>
      <c r="F43">
        <v>4</v>
      </c>
      <c r="G43">
        <v>1306</v>
      </c>
      <c r="H43">
        <v>0</v>
      </c>
      <c r="I43" t="s">
        <v>29</v>
      </c>
      <c r="J43" t="s">
        <v>13</v>
      </c>
      <c r="K43" s="6">
        <f t="shared" si="0"/>
        <v>5224</v>
      </c>
      <c r="L43" s="6">
        <f t="shared" si="1"/>
        <v>5224</v>
      </c>
      <c r="M43" s="6">
        <f>_xlfn.XLOOKUP(E43, Products!A:A, Products!E:E)</f>
        <v>294</v>
      </c>
      <c r="N43" s="6">
        <f t="shared" si="2"/>
        <v>1176</v>
      </c>
      <c r="O43" s="8">
        <f t="shared" si="3"/>
        <v>4048</v>
      </c>
      <c r="Q43" s="8"/>
      <c r="R43" s="8"/>
    </row>
    <row r="44" spans="1:18">
      <c r="A44" s="4">
        <v>100798</v>
      </c>
      <c r="B44" s="1">
        <v>45577</v>
      </c>
      <c r="C44" s="1">
        <v>45300</v>
      </c>
      <c r="D44" t="s">
        <v>363</v>
      </c>
      <c r="E44" t="s">
        <v>69</v>
      </c>
      <c r="F44">
        <v>4</v>
      </c>
      <c r="G44">
        <v>1255</v>
      </c>
      <c r="H44">
        <v>0</v>
      </c>
      <c r="I44" t="s">
        <v>29</v>
      </c>
      <c r="J44" t="s">
        <v>16</v>
      </c>
      <c r="K44" s="6">
        <f t="shared" si="0"/>
        <v>5020</v>
      </c>
      <c r="L44" s="6">
        <f t="shared" si="1"/>
        <v>5020</v>
      </c>
      <c r="M44" s="6">
        <f>_xlfn.XLOOKUP(E44, Products!A:A, Products!E:E)</f>
        <v>82</v>
      </c>
      <c r="N44" s="6">
        <f t="shared" si="2"/>
        <v>328</v>
      </c>
      <c r="O44" s="8">
        <f t="shared" si="3"/>
        <v>4692</v>
      </c>
      <c r="Q44" s="8"/>
      <c r="R44" s="8"/>
    </row>
    <row r="45" spans="1:18">
      <c r="A45" s="4">
        <v>100925</v>
      </c>
      <c r="B45" s="1">
        <v>45577</v>
      </c>
      <c r="C45" s="1">
        <v>45300</v>
      </c>
      <c r="D45" t="s">
        <v>72</v>
      </c>
      <c r="E45" t="s">
        <v>89</v>
      </c>
      <c r="F45">
        <v>4</v>
      </c>
      <c r="G45">
        <v>1312</v>
      </c>
      <c r="H45">
        <v>0</v>
      </c>
      <c r="I45" t="s">
        <v>29</v>
      </c>
      <c r="J45" t="s">
        <v>26</v>
      </c>
      <c r="K45" s="6">
        <f t="shared" si="0"/>
        <v>5248</v>
      </c>
      <c r="L45" s="6">
        <f t="shared" si="1"/>
        <v>5248</v>
      </c>
      <c r="M45" s="6">
        <f>_xlfn.XLOOKUP(E45, Products!A:A, Products!E:E)</f>
        <v>184</v>
      </c>
      <c r="N45" s="6">
        <f t="shared" si="2"/>
        <v>736</v>
      </c>
      <c r="O45" s="8">
        <f t="shared" si="3"/>
        <v>4512</v>
      </c>
      <c r="Q45" s="8"/>
      <c r="R45" s="8"/>
    </row>
    <row r="46" spans="1:18">
      <c r="A46" s="4">
        <v>100587</v>
      </c>
      <c r="B46" s="1">
        <v>45573</v>
      </c>
      <c r="C46" s="1">
        <v>45301</v>
      </c>
      <c r="D46" t="s">
        <v>272</v>
      </c>
      <c r="E46" t="s">
        <v>112</v>
      </c>
      <c r="F46">
        <v>4</v>
      </c>
      <c r="G46">
        <v>1248</v>
      </c>
      <c r="H46">
        <v>5</v>
      </c>
      <c r="I46" t="s">
        <v>29</v>
      </c>
      <c r="J46" t="s">
        <v>16</v>
      </c>
      <c r="K46" s="6">
        <f t="shared" si="0"/>
        <v>4992</v>
      </c>
      <c r="L46" s="6">
        <f t="shared" si="1"/>
        <v>-19968</v>
      </c>
      <c r="M46" s="6">
        <f>_xlfn.XLOOKUP(E46, Products!A:A, Products!E:E)</f>
        <v>72</v>
      </c>
      <c r="N46" s="6">
        <f t="shared" si="2"/>
        <v>288</v>
      </c>
      <c r="O46" s="8">
        <f t="shared" si="3"/>
        <v>-20256</v>
      </c>
      <c r="Q46" s="8"/>
      <c r="R46" s="8"/>
    </row>
    <row r="47" spans="1:18">
      <c r="A47" s="4">
        <v>100063</v>
      </c>
      <c r="B47" s="1">
        <v>45573</v>
      </c>
      <c r="C47" s="1">
        <v>45301</v>
      </c>
      <c r="D47" t="s">
        <v>121</v>
      </c>
      <c r="E47" t="s">
        <v>48</v>
      </c>
      <c r="F47">
        <v>4</v>
      </c>
      <c r="G47">
        <v>494</v>
      </c>
      <c r="H47">
        <v>15</v>
      </c>
      <c r="I47" t="s">
        <v>12</v>
      </c>
      <c r="J47" t="s">
        <v>22</v>
      </c>
      <c r="K47" s="6">
        <f t="shared" si="0"/>
        <v>1976</v>
      </c>
      <c r="L47" s="6">
        <f t="shared" si="1"/>
        <v>-27664</v>
      </c>
      <c r="M47" s="6">
        <f>_xlfn.XLOOKUP(E47, Products!A:A, Products!E:E)</f>
        <v>179</v>
      </c>
      <c r="N47" s="6">
        <f t="shared" si="2"/>
        <v>716</v>
      </c>
      <c r="O47" s="8">
        <f t="shared" si="3"/>
        <v>-28380</v>
      </c>
      <c r="Q47" s="8"/>
      <c r="R47" s="8"/>
    </row>
    <row r="48" spans="1:18">
      <c r="A48" s="4">
        <v>100323</v>
      </c>
      <c r="B48" s="1">
        <v>45571</v>
      </c>
      <c r="C48" s="1">
        <v>45294</v>
      </c>
      <c r="D48" t="s">
        <v>143</v>
      </c>
      <c r="E48" t="s">
        <v>212</v>
      </c>
      <c r="F48">
        <v>4</v>
      </c>
      <c r="G48">
        <v>1139</v>
      </c>
      <c r="H48">
        <v>5</v>
      </c>
      <c r="I48" t="s">
        <v>19</v>
      </c>
      <c r="J48" t="s">
        <v>22</v>
      </c>
      <c r="K48" s="6">
        <f t="shared" si="0"/>
        <v>4556</v>
      </c>
      <c r="L48" s="6">
        <f t="shared" si="1"/>
        <v>-18224</v>
      </c>
      <c r="M48" s="6">
        <f>_xlfn.XLOOKUP(E48, Products!A:A, Products!E:E)</f>
        <v>196</v>
      </c>
      <c r="N48" s="6">
        <f t="shared" si="2"/>
        <v>784</v>
      </c>
      <c r="O48" s="8">
        <f t="shared" si="3"/>
        <v>-19008</v>
      </c>
      <c r="Q48" s="8"/>
      <c r="R48" s="8"/>
    </row>
    <row r="49" spans="1:18">
      <c r="A49" s="4">
        <v>100841</v>
      </c>
      <c r="B49" s="1">
        <v>45568</v>
      </c>
      <c r="C49" s="1">
        <v>45295</v>
      </c>
      <c r="D49" t="s">
        <v>403</v>
      </c>
      <c r="E49" t="s">
        <v>204</v>
      </c>
      <c r="F49">
        <v>4</v>
      </c>
      <c r="G49">
        <v>1316</v>
      </c>
      <c r="H49">
        <v>10</v>
      </c>
      <c r="I49" t="s">
        <v>29</v>
      </c>
      <c r="J49" t="s">
        <v>22</v>
      </c>
      <c r="K49" s="6">
        <f t="shared" si="0"/>
        <v>5264</v>
      </c>
      <c r="L49" s="6">
        <f t="shared" si="1"/>
        <v>-47376</v>
      </c>
      <c r="M49" s="6">
        <f>_xlfn.XLOOKUP(E49, Products!A:A, Products!E:E)</f>
        <v>229</v>
      </c>
      <c r="N49" s="6">
        <f t="shared" si="2"/>
        <v>916</v>
      </c>
      <c r="O49" s="8">
        <f t="shared" si="3"/>
        <v>-48292</v>
      </c>
      <c r="Q49" s="8"/>
      <c r="R49" s="8"/>
    </row>
    <row r="50" spans="1:18">
      <c r="A50" s="4">
        <v>100128</v>
      </c>
      <c r="B50" s="1">
        <v>45567</v>
      </c>
      <c r="C50" s="1">
        <v>45299</v>
      </c>
      <c r="D50" t="s">
        <v>194</v>
      </c>
      <c r="E50" t="s">
        <v>195</v>
      </c>
      <c r="F50">
        <v>4</v>
      </c>
      <c r="G50">
        <v>1846</v>
      </c>
      <c r="H50">
        <v>5</v>
      </c>
      <c r="I50" t="s">
        <v>32</v>
      </c>
      <c r="J50" t="s">
        <v>13</v>
      </c>
      <c r="K50" s="6">
        <f t="shared" si="0"/>
        <v>7384</v>
      </c>
      <c r="L50" s="6">
        <f t="shared" si="1"/>
        <v>-29536</v>
      </c>
      <c r="M50" s="6">
        <f>_xlfn.XLOOKUP(E50, Products!A:A, Products!E:E)</f>
        <v>261</v>
      </c>
      <c r="N50" s="6">
        <f t="shared" si="2"/>
        <v>1044</v>
      </c>
      <c r="O50" s="8">
        <f t="shared" si="3"/>
        <v>-30580</v>
      </c>
      <c r="Q50" s="8"/>
      <c r="R50" s="8"/>
    </row>
    <row r="51" spans="1:18">
      <c r="A51" s="4">
        <v>100617</v>
      </c>
      <c r="B51" s="1">
        <v>45567</v>
      </c>
      <c r="C51" s="1">
        <v>45298</v>
      </c>
      <c r="D51" t="s">
        <v>376</v>
      </c>
      <c r="E51" t="s">
        <v>93</v>
      </c>
      <c r="F51">
        <v>4</v>
      </c>
      <c r="G51">
        <v>1523</v>
      </c>
      <c r="H51">
        <v>10</v>
      </c>
      <c r="I51" t="s">
        <v>19</v>
      </c>
      <c r="J51" t="s">
        <v>22</v>
      </c>
      <c r="K51" s="6">
        <f t="shared" si="0"/>
        <v>6092</v>
      </c>
      <c r="L51" s="6">
        <f t="shared" si="1"/>
        <v>-54828</v>
      </c>
      <c r="M51" s="6">
        <f>_xlfn.XLOOKUP(E51, Products!A:A, Products!E:E)</f>
        <v>222</v>
      </c>
      <c r="N51" s="6">
        <f t="shared" si="2"/>
        <v>888</v>
      </c>
      <c r="O51" s="8">
        <f t="shared" si="3"/>
        <v>-55716</v>
      </c>
      <c r="Q51" s="8"/>
      <c r="R51" s="8"/>
    </row>
    <row r="52" spans="1:18">
      <c r="A52" s="4">
        <v>100005</v>
      </c>
      <c r="B52" s="1">
        <v>45564</v>
      </c>
      <c r="C52" s="1">
        <v>45300</v>
      </c>
      <c r="D52" t="s">
        <v>25</v>
      </c>
      <c r="E52" t="s">
        <v>15</v>
      </c>
      <c r="F52">
        <v>4</v>
      </c>
      <c r="G52">
        <v>1749</v>
      </c>
      <c r="H52">
        <v>0</v>
      </c>
      <c r="I52" t="s">
        <v>12</v>
      </c>
      <c r="J52" t="s">
        <v>26</v>
      </c>
      <c r="K52" s="6">
        <f t="shared" si="0"/>
        <v>6996</v>
      </c>
      <c r="L52" s="6">
        <f t="shared" si="1"/>
        <v>6996</v>
      </c>
      <c r="M52" s="6">
        <f>_xlfn.XLOOKUP(E52, Products!A:A, Products!E:E)</f>
        <v>242</v>
      </c>
      <c r="N52" s="6">
        <f t="shared" si="2"/>
        <v>968</v>
      </c>
      <c r="O52" s="8">
        <f t="shared" si="3"/>
        <v>6028</v>
      </c>
      <c r="Q52" s="8"/>
      <c r="R52" s="8"/>
    </row>
    <row r="53" spans="1:18">
      <c r="A53" s="4">
        <v>100978</v>
      </c>
      <c r="B53" s="1">
        <v>45563</v>
      </c>
      <c r="C53" s="1">
        <v>45299</v>
      </c>
      <c r="D53" t="s">
        <v>404</v>
      </c>
      <c r="E53" t="s">
        <v>201</v>
      </c>
      <c r="F53">
        <v>4</v>
      </c>
      <c r="G53">
        <v>1735</v>
      </c>
      <c r="H53">
        <v>10</v>
      </c>
      <c r="I53" t="s">
        <v>19</v>
      </c>
      <c r="J53" t="s">
        <v>13</v>
      </c>
      <c r="K53" s="6">
        <f t="shared" si="0"/>
        <v>6940</v>
      </c>
      <c r="L53" s="6">
        <f t="shared" si="1"/>
        <v>-62460</v>
      </c>
      <c r="M53" s="6">
        <f>_xlfn.XLOOKUP(E53, Products!A:A, Products!E:E)</f>
        <v>123</v>
      </c>
      <c r="N53" s="6">
        <f t="shared" si="2"/>
        <v>492</v>
      </c>
      <c r="O53" s="8">
        <f t="shared" si="3"/>
        <v>-62952</v>
      </c>
      <c r="Q53" s="8"/>
      <c r="R53" s="8"/>
    </row>
    <row r="54" spans="1:18">
      <c r="A54" s="4">
        <v>100822</v>
      </c>
      <c r="B54" s="1">
        <v>45563</v>
      </c>
      <c r="C54" s="1">
        <v>45294</v>
      </c>
      <c r="D54" t="s">
        <v>131</v>
      </c>
      <c r="E54" t="s">
        <v>209</v>
      </c>
      <c r="F54">
        <v>4</v>
      </c>
      <c r="G54">
        <v>540</v>
      </c>
      <c r="H54">
        <v>5</v>
      </c>
      <c r="I54" t="s">
        <v>32</v>
      </c>
      <c r="J54" t="s">
        <v>26</v>
      </c>
      <c r="K54" s="6">
        <f t="shared" si="0"/>
        <v>2160</v>
      </c>
      <c r="L54" s="6">
        <f t="shared" si="1"/>
        <v>-8640</v>
      </c>
      <c r="M54" s="6">
        <f>_xlfn.XLOOKUP(E54, Products!A:A, Products!E:E)</f>
        <v>53</v>
      </c>
      <c r="N54" s="6">
        <f t="shared" si="2"/>
        <v>212</v>
      </c>
      <c r="O54" s="8">
        <f t="shared" si="3"/>
        <v>-8852</v>
      </c>
      <c r="Q54" s="8"/>
      <c r="R54" s="8"/>
    </row>
    <row r="55" spans="1:18">
      <c r="A55" s="4">
        <v>100132</v>
      </c>
      <c r="B55" s="1">
        <v>45559</v>
      </c>
      <c r="C55" s="1">
        <v>45302</v>
      </c>
      <c r="D55" t="s">
        <v>199</v>
      </c>
      <c r="E55" t="s">
        <v>57</v>
      </c>
      <c r="F55">
        <v>4</v>
      </c>
      <c r="G55">
        <v>1379</v>
      </c>
      <c r="H55">
        <v>15</v>
      </c>
      <c r="I55" t="s">
        <v>29</v>
      </c>
      <c r="J55" t="s">
        <v>13</v>
      </c>
      <c r="K55" s="6">
        <f t="shared" si="0"/>
        <v>5516</v>
      </c>
      <c r="L55" s="6">
        <f t="shared" si="1"/>
        <v>-77224</v>
      </c>
      <c r="M55" s="6">
        <f>_xlfn.XLOOKUP(E55, Products!A:A, Products!E:E)</f>
        <v>270</v>
      </c>
      <c r="N55" s="6">
        <f t="shared" si="2"/>
        <v>1080</v>
      </c>
      <c r="O55" s="8">
        <f t="shared" si="3"/>
        <v>-78304</v>
      </c>
      <c r="Q55" s="8"/>
      <c r="R55" s="8"/>
    </row>
    <row r="56" spans="1:18">
      <c r="A56" s="4">
        <v>100915</v>
      </c>
      <c r="B56" s="1">
        <v>45559</v>
      </c>
      <c r="C56" s="1">
        <v>45294</v>
      </c>
      <c r="D56" t="s">
        <v>88</v>
      </c>
      <c r="E56" t="s">
        <v>170</v>
      </c>
      <c r="F56">
        <v>4</v>
      </c>
      <c r="G56">
        <v>847</v>
      </c>
      <c r="H56">
        <v>5</v>
      </c>
      <c r="I56" t="s">
        <v>19</v>
      </c>
      <c r="J56" t="s">
        <v>13</v>
      </c>
      <c r="K56" s="6">
        <f t="shared" si="0"/>
        <v>3388</v>
      </c>
      <c r="L56" s="6">
        <f t="shared" si="1"/>
        <v>-13552</v>
      </c>
      <c r="M56" s="6">
        <f>_xlfn.XLOOKUP(E56, Products!A:A, Products!E:E)</f>
        <v>264</v>
      </c>
      <c r="N56" s="6">
        <f t="shared" si="2"/>
        <v>1056</v>
      </c>
      <c r="O56" s="8">
        <f t="shared" si="3"/>
        <v>-14608</v>
      </c>
      <c r="Q56" s="8"/>
      <c r="R56" s="8"/>
    </row>
    <row r="57" spans="1:18">
      <c r="A57" s="4">
        <v>100730</v>
      </c>
      <c r="B57" s="1">
        <v>45559</v>
      </c>
      <c r="C57" s="1">
        <v>45301</v>
      </c>
      <c r="D57" t="s">
        <v>348</v>
      </c>
      <c r="E57" t="s">
        <v>132</v>
      </c>
      <c r="F57">
        <v>4</v>
      </c>
      <c r="G57">
        <v>1373</v>
      </c>
      <c r="H57">
        <v>5</v>
      </c>
      <c r="I57" t="s">
        <v>32</v>
      </c>
      <c r="J57" t="s">
        <v>13</v>
      </c>
      <c r="K57" s="6">
        <f t="shared" si="0"/>
        <v>5492</v>
      </c>
      <c r="L57" s="6">
        <f t="shared" si="1"/>
        <v>-21968</v>
      </c>
      <c r="M57" s="6">
        <f>_xlfn.XLOOKUP(E57, Products!A:A, Products!E:E)</f>
        <v>138</v>
      </c>
      <c r="N57" s="6">
        <f t="shared" si="2"/>
        <v>552</v>
      </c>
      <c r="O57" s="8">
        <f t="shared" si="3"/>
        <v>-22520</v>
      </c>
      <c r="Q57" s="8"/>
      <c r="R57" s="8"/>
    </row>
    <row r="58" spans="1:18">
      <c r="A58" s="4">
        <v>100408</v>
      </c>
      <c r="B58" s="1">
        <v>45557</v>
      </c>
      <c r="C58" s="1">
        <v>45294</v>
      </c>
      <c r="D58" t="s">
        <v>300</v>
      </c>
      <c r="E58" t="s">
        <v>156</v>
      </c>
      <c r="F58">
        <v>4</v>
      </c>
      <c r="G58">
        <v>439</v>
      </c>
      <c r="H58">
        <v>0</v>
      </c>
      <c r="I58" t="s">
        <v>12</v>
      </c>
      <c r="J58" t="s">
        <v>16</v>
      </c>
      <c r="K58" s="6">
        <f t="shared" si="0"/>
        <v>1756</v>
      </c>
      <c r="L58" s="6">
        <f t="shared" si="1"/>
        <v>1756</v>
      </c>
      <c r="M58" s="6">
        <f>_xlfn.XLOOKUP(E58, Products!A:A, Products!E:E)</f>
        <v>168</v>
      </c>
      <c r="N58" s="6">
        <f t="shared" si="2"/>
        <v>672</v>
      </c>
      <c r="O58" s="8">
        <f t="shared" si="3"/>
        <v>1084</v>
      </c>
      <c r="Q58" s="8"/>
      <c r="R58" s="8"/>
    </row>
    <row r="59" spans="1:18">
      <c r="A59" s="4">
        <v>100247</v>
      </c>
      <c r="B59" s="1">
        <v>45557</v>
      </c>
      <c r="C59" s="1">
        <v>45299</v>
      </c>
      <c r="D59" t="s">
        <v>271</v>
      </c>
      <c r="E59" t="s">
        <v>80</v>
      </c>
      <c r="F59">
        <v>4</v>
      </c>
      <c r="G59">
        <v>413</v>
      </c>
      <c r="H59">
        <v>10</v>
      </c>
      <c r="I59" t="s">
        <v>29</v>
      </c>
      <c r="J59" t="s">
        <v>16</v>
      </c>
      <c r="K59" s="6">
        <f t="shared" si="0"/>
        <v>1652</v>
      </c>
      <c r="L59" s="6">
        <f t="shared" si="1"/>
        <v>-14868</v>
      </c>
      <c r="M59" s="6">
        <f>_xlfn.XLOOKUP(E59, Products!A:A, Products!E:E)</f>
        <v>71</v>
      </c>
      <c r="N59" s="6">
        <f t="shared" si="2"/>
        <v>284</v>
      </c>
      <c r="O59" s="8">
        <f t="shared" si="3"/>
        <v>-15152</v>
      </c>
      <c r="Q59" s="8"/>
      <c r="R59" s="8"/>
    </row>
    <row r="60" spans="1:18">
      <c r="A60" s="4">
        <v>100802</v>
      </c>
      <c r="B60" s="1">
        <v>45555</v>
      </c>
      <c r="C60" s="1">
        <v>45294</v>
      </c>
      <c r="D60" t="s">
        <v>252</v>
      </c>
      <c r="E60" t="s">
        <v>103</v>
      </c>
      <c r="F60">
        <v>4</v>
      </c>
      <c r="G60">
        <v>1846</v>
      </c>
      <c r="H60">
        <v>10</v>
      </c>
      <c r="I60" t="s">
        <v>29</v>
      </c>
      <c r="J60" t="s">
        <v>26</v>
      </c>
      <c r="K60" s="6">
        <f t="shared" si="0"/>
        <v>7384</v>
      </c>
      <c r="L60" s="6">
        <f t="shared" si="1"/>
        <v>-66456</v>
      </c>
      <c r="M60" s="6">
        <f>_xlfn.XLOOKUP(E60, Products!A:A, Products!E:E)</f>
        <v>185</v>
      </c>
      <c r="N60" s="6">
        <f t="shared" si="2"/>
        <v>740</v>
      </c>
      <c r="O60" s="8">
        <f t="shared" si="3"/>
        <v>-67196</v>
      </c>
      <c r="Q60" s="8"/>
      <c r="R60" s="8"/>
    </row>
    <row r="61" spans="1:18">
      <c r="A61" s="4">
        <v>100911</v>
      </c>
      <c r="B61" s="1">
        <v>45555</v>
      </c>
      <c r="C61" s="1">
        <v>45296</v>
      </c>
      <c r="D61" t="s">
        <v>332</v>
      </c>
      <c r="E61" t="s">
        <v>269</v>
      </c>
      <c r="F61">
        <v>4</v>
      </c>
      <c r="G61">
        <v>1816</v>
      </c>
      <c r="H61">
        <v>10</v>
      </c>
      <c r="I61" t="s">
        <v>32</v>
      </c>
      <c r="J61" t="s">
        <v>26</v>
      </c>
      <c r="K61" s="6">
        <f t="shared" si="0"/>
        <v>7264</v>
      </c>
      <c r="L61" s="6">
        <f t="shared" si="1"/>
        <v>-65376</v>
      </c>
      <c r="M61" s="6">
        <f>_xlfn.XLOOKUP(E61, Products!A:A, Products!E:E)</f>
        <v>128</v>
      </c>
      <c r="N61" s="6">
        <f t="shared" si="2"/>
        <v>512</v>
      </c>
      <c r="O61" s="8">
        <f t="shared" si="3"/>
        <v>-65888</v>
      </c>
      <c r="Q61" s="8"/>
      <c r="R61" s="8"/>
    </row>
    <row r="62" spans="1:18">
      <c r="A62" s="4">
        <v>100382</v>
      </c>
      <c r="B62" s="1">
        <v>45552</v>
      </c>
      <c r="C62" s="1">
        <v>45300</v>
      </c>
      <c r="D62" t="s">
        <v>250</v>
      </c>
      <c r="E62" t="s">
        <v>71</v>
      </c>
      <c r="F62">
        <v>4</v>
      </c>
      <c r="G62">
        <v>713</v>
      </c>
      <c r="H62">
        <v>10</v>
      </c>
      <c r="I62" t="s">
        <v>29</v>
      </c>
      <c r="J62" t="s">
        <v>13</v>
      </c>
      <c r="K62" s="6">
        <f t="shared" si="0"/>
        <v>2852</v>
      </c>
      <c r="L62" s="6">
        <f t="shared" si="1"/>
        <v>-25668</v>
      </c>
      <c r="M62" s="6">
        <f>_xlfn.XLOOKUP(E62, Products!A:A, Products!E:E)</f>
        <v>126</v>
      </c>
      <c r="N62" s="6">
        <f t="shared" si="2"/>
        <v>504</v>
      </c>
      <c r="O62" s="8">
        <f t="shared" si="3"/>
        <v>-26172</v>
      </c>
      <c r="Q62" s="8"/>
      <c r="R62" s="8"/>
    </row>
    <row r="63" spans="1:18">
      <c r="A63" s="4">
        <v>100139</v>
      </c>
      <c r="B63" s="1">
        <v>45551</v>
      </c>
      <c r="C63" s="1">
        <v>45298</v>
      </c>
      <c r="D63" t="s">
        <v>205</v>
      </c>
      <c r="E63" t="s">
        <v>206</v>
      </c>
      <c r="F63">
        <v>4</v>
      </c>
      <c r="G63">
        <v>1031</v>
      </c>
      <c r="H63">
        <v>15</v>
      </c>
      <c r="I63" t="s">
        <v>29</v>
      </c>
      <c r="J63" t="s">
        <v>16</v>
      </c>
      <c r="K63" s="6">
        <f t="shared" si="0"/>
        <v>4124</v>
      </c>
      <c r="L63" s="6">
        <f t="shared" si="1"/>
        <v>-57736</v>
      </c>
      <c r="M63" s="6">
        <f>_xlfn.XLOOKUP(E63, Products!A:A, Products!E:E)</f>
        <v>50</v>
      </c>
      <c r="N63" s="6">
        <f t="shared" si="2"/>
        <v>200</v>
      </c>
      <c r="O63" s="8">
        <f t="shared" si="3"/>
        <v>-57936</v>
      </c>
      <c r="Q63" s="8"/>
      <c r="R63" s="8"/>
    </row>
    <row r="64" spans="1:18">
      <c r="A64" s="4">
        <v>100797</v>
      </c>
      <c r="B64" s="1">
        <v>45551</v>
      </c>
      <c r="C64" s="1">
        <v>45296</v>
      </c>
      <c r="D64" t="s">
        <v>160</v>
      </c>
      <c r="E64" t="s">
        <v>115</v>
      </c>
      <c r="F64">
        <v>4</v>
      </c>
      <c r="G64">
        <v>338</v>
      </c>
      <c r="H64">
        <v>15</v>
      </c>
      <c r="I64" t="s">
        <v>19</v>
      </c>
      <c r="J64" t="s">
        <v>13</v>
      </c>
      <c r="K64" s="6">
        <f t="shared" si="0"/>
        <v>1352</v>
      </c>
      <c r="L64" s="6">
        <f t="shared" si="1"/>
        <v>-18928</v>
      </c>
      <c r="M64" s="6">
        <f>_xlfn.XLOOKUP(E64, Products!A:A, Products!E:E)</f>
        <v>211</v>
      </c>
      <c r="N64" s="6">
        <f t="shared" si="2"/>
        <v>844</v>
      </c>
      <c r="O64" s="8">
        <f t="shared" si="3"/>
        <v>-19772</v>
      </c>
      <c r="Q64" s="8"/>
      <c r="R64" s="8"/>
    </row>
    <row r="65" spans="1:18">
      <c r="A65" s="4">
        <v>100956</v>
      </c>
      <c r="B65" s="1">
        <v>45550</v>
      </c>
      <c r="C65" s="1">
        <v>45295</v>
      </c>
      <c r="D65" t="s">
        <v>79</v>
      </c>
      <c r="E65" t="s">
        <v>44</v>
      </c>
      <c r="F65">
        <v>4</v>
      </c>
      <c r="G65">
        <v>841</v>
      </c>
      <c r="H65">
        <v>0</v>
      </c>
      <c r="I65" t="s">
        <v>12</v>
      </c>
      <c r="J65" t="s">
        <v>13</v>
      </c>
      <c r="K65" s="6">
        <f t="shared" si="0"/>
        <v>3364</v>
      </c>
      <c r="L65" s="6">
        <f t="shared" si="1"/>
        <v>3364</v>
      </c>
      <c r="M65" s="6">
        <f>_xlfn.XLOOKUP(E65, Products!A:A, Products!E:E)</f>
        <v>204</v>
      </c>
      <c r="N65" s="6">
        <f t="shared" si="2"/>
        <v>816</v>
      </c>
      <c r="O65" s="8">
        <f t="shared" si="3"/>
        <v>2548</v>
      </c>
      <c r="Q65" s="8"/>
      <c r="R65" s="8"/>
    </row>
    <row r="66" spans="1:18">
      <c r="A66" s="4">
        <v>100607</v>
      </c>
      <c r="B66" s="1">
        <v>45549</v>
      </c>
      <c r="C66" s="1">
        <v>45298</v>
      </c>
      <c r="D66" t="s">
        <v>168</v>
      </c>
      <c r="E66" t="s">
        <v>46</v>
      </c>
      <c r="F66">
        <v>4</v>
      </c>
      <c r="G66">
        <v>1264</v>
      </c>
      <c r="H66">
        <v>15</v>
      </c>
      <c r="I66" t="s">
        <v>29</v>
      </c>
      <c r="J66" t="s">
        <v>22</v>
      </c>
      <c r="K66" s="6">
        <f t="shared" ref="K66:K129" si="4">F66*G66</f>
        <v>5056</v>
      </c>
      <c r="L66" s="6">
        <f t="shared" si="1"/>
        <v>-70784</v>
      </c>
      <c r="M66" s="6">
        <f>_xlfn.XLOOKUP(E66, Products!A:A, Products!E:E)</f>
        <v>191</v>
      </c>
      <c r="N66" s="6">
        <f t="shared" si="2"/>
        <v>764</v>
      </c>
      <c r="O66" s="8">
        <f t="shared" si="3"/>
        <v>-71548</v>
      </c>
      <c r="Q66" s="8"/>
      <c r="R66" s="8"/>
    </row>
    <row r="67" spans="1:18">
      <c r="A67" s="4">
        <v>100786</v>
      </c>
      <c r="B67" s="1">
        <v>45544</v>
      </c>
      <c r="C67" s="1">
        <v>45302</v>
      </c>
      <c r="D67" t="s">
        <v>86</v>
      </c>
      <c r="E67" t="s">
        <v>91</v>
      </c>
      <c r="F67">
        <v>4</v>
      </c>
      <c r="G67">
        <v>361</v>
      </c>
      <c r="H67">
        <v>0</v>
      </c>
      <c r="I67" t="s">
        <v>29</v>
      </c>
      <c r="J67" t="s">
        <v>16</v>
      </c>
      <c r="K67" s="6">
        <f t="shared" si="4"/>
        <v>1444</v>
      </c>
      <c r="L67" s="6">
        <f t="shared" ref="L67:L130" si="5">F67*G67*(1-H67)</f>
        <v>1444</v>
      </c>
      <c r="M67" s="6">
        <f>_xlfn.XLOOKUP(E67, Products!A:A, Products!E:E)</f>
        <v>243</v>
      </c>
      <c r="N67" s="6">
        <f t="shared" ref="N67:N130" si="6">F67*M67</f>
        <v>972</v>
      </c>
      <c r="O67" s="8">
        <f t="shared" ref="O67:O130" si="7">L67-N67</f>
        <v>472</v>
      </c>
      <c r="Q67" s="8"/>
      <c r="R67" s="8"/>
    </row>
    <row r="68" spans="1:18">
      <c r="A68" s="4">
        <v>100493</v>
      </c>
      <c r="B68" s="1">
        <v>45541</v>
      </c>
      <c r="C68" s="1">
        <v>45297</v>
      </c>
      <c r="D68" t="s">
        <v>169</v>
      </c>
      <c r="E68" t="s">
        <v>247</v>
      </c>
      <c r="F68">
        <v>4</v>
      </c>
      <c r="G68">
        <v>1991</v>
      </c>
      <c r="H68">
        <v>15</v>
      </c>
      <c r="I68" t="s">
        <v>29</v>
      </c>
      <c r="J68" t="s">
        <v>26</v>
      </c>
      <c r="K68" s="6">
        <f t="shared" si="4"/>
        <v>7964</v>
      </c>
      <c r="L68" s="6">
        <f t="shared" si="5"/>
        <v>-111496</v>
      </c>
      <c r="M68" s="6">
        <f>_xlfn.XLOOKUP(E68, Products!A:A, Products!E:E)</f>
        <v>70</v>
      </c>
      <c r="N68" s="6">
        <f t="shared" si="6"/>
        <v>280</v>
      </c>
      <c r="O68" s="8">
        <f t="shared" si="7"/>
        <v>-111776</v>
      </c>
      <c r="Q68" s="8"/>
      <c r="R68" s="8"/>
    </row>
    <row r="69" spans="1:18">
      <c r="A69" s="4">
        <v>100086</v>
      </c>
      <c r="B69" s="1">
        <v>45540</v>
      </c>
      <c r="C69" s="1">
        <v>45302</v>
      </c>
      <c r="D69" t="s">
        <v>151</v>
      </c>
      <c r="E69" t="s">
        <v>101</v>
      </c>
      <c r="F69">
        <v>4</v>
      </c>
      <c r="G69">
        <v>1039</v>
      </c>
      <c r="H69">
        <v>0</v>
      </c>
      <c r="I69" t="s">
        <v>12</v>
      </c>
      <c r="J69" t="s">
        <v>26</v>
      </c>
      <c r="K69" s="6">
        <f t="shared" si="4"/>
        <v>4156</v>
      </c>
      <c r="L69" s="6">
        <f t="shared" si="5"/>
        <v>4156</v>
      </c>
      <c r="M69" s="6">
        <f>_xlfn.XLOOKUP(E69, Products!A:A, Products!E:E)</f>
        <v>126</v>
      </c>
      <c r="N69" s="6">
        <f t="shared" si="6"/>
        <v>504</v>
      </c>
      <c r="O69" s="8">
        <f t="shared" si="7"/>
        <v>3652</v>
      </c>
      <c r="Q69" s="8"/>
      <c r="R69" s="8"/>
    </row>
    <row r="70" spans="1:18">
      <c r="A70" s="4">
        <v>100266</v>
      </c>
      <c r="B70" s="1">
        <v>45537</v>
      </c>
      <c r="C70" s="1">
        <v>45297</v>
      </c>
      <c r="D70" t="s">
        <v>280</v>
      </c>
      <c r="E70" t="s">
        <v>11</v>
      </c>
      <c r="F70">
        <v>4</v>
      </c>
      <c r="G70">
        <v>1093</v>
      </c>
      <c r="H70">
        <v>10</v>
      </c>
      <c r="I70" t="s">
        <v>19</v>
      </c>
      <c r="J70" t="s">
        <v>22</v>
      </c>
      <c r="K70" s="6">
        <f t="shared" si="4"/>
        <v>4372</v>
      </c>
      <c r="L70" s="6">
        <f t="shared" si="5"/>
        <v>-39348</v>
      </c>
      <c r="M70" s="6">
        <f>_xlfn.XLOOKUP(E70, Products!A:A, Products!E:E)</f>
        <v>144</v>
      </c>
      <c r="N70" s="6">
        <f t="shared" si="6"/>
        <v>576</v>
      </c>
      <c r="O70" s="8">
        <f t="shared" si="7"/>
        <v>-39924</v>
      </c>
      <c r="Q70" s="8"/>
      <c r="R70" s="8"/>
    </row>
    <row r="71" spans="1:18">
      <c r="A71" s="4">
        <v>100040</v>
      </c>
      <c r="B71" s="1">
        <v>45533</v>
      </c>
      <c r="C71" s="1">
        <v>45301</v>
      </c>
      <c r="D71" t="s">
        <v>86</v>
      </c>
      <c r="E71" t="s">
        <v>87</v>
      </c>
      <c r="F71">
        <v>4</v>
      </c>
      <c r="G71">
        <v>412</v>
      </c>
      <c r="H71">
        <v>5</v>
      </c>
      <c r="I71" t="s">
        <v>19</v>
      </c>
      <c r="J71" t="s">
        <v>16</v>
      </c>
      <c r="K71" s="6">
        <f t="shared" si="4"/>
        <v>1648</v>
      </c>
      <c r="L71" s="6">
        <f t="shared" si="5"/>
        <v>-6592</v>
      </c>
      <c r="M71" s="6">
        <f>_xlfn.XLOOKUP(E71, Products!A:A, Products!E:E)</f>
        <v>269</v>
      </c>
      <c r="N71" s="6">
        <f t="shared" si="6"/>
        <v>1076</v>
      </c>
      <c r="O71" s="8">
        <f t="shared" si="7"/>
        <v>-7668</v>
      </c>
      <c r="Q71" s="8"/>
      <c r="R71" s="8"/>
    </row>
    <row r="72" spans="1:18">
      <c r="A72" s="4">
        <v>100184</v>
      </c>
      <c r="B72" s="1">
        <v>45533</v>
      </c>
      <c r="C72" s="1">
        <v>45298</v>
      </c>
      <c r="D72" t="s">
        <v>234</v>
      </c>
      <c r="E72" t="s">
        <v>164</v>
      </c>
      <c r="F72">
        <v>4</v>
      </c>
      <c r="G72">
        <v>511</v>
      </c>
      <c r="H72">
        <v>10</v>
      </c>
      <c r="I72" t="s">
        <v>12</v>
      </c>
      <c r="J72" t="s">
        <v>26</v>
      </c>
      <c r="K72" s="6">
        <f t="shared" si="4"/>
        <v>2044</v>
      </c>
      <c r="L72" s="6">
        <f t="shared" si="5"/>
        <v>-18396</v>
      </c>
      <c r="M72" s="6">
        <f>_xlfn.XLOOKUP(E72, Products!A:A, Products!E:E)</f>
        <v>156</v>
      </c>
      <c r="N72" s="6">
        <f t="shared" si="6"/>
        <v>624</v>
      </c>
      <c r="O72" s="8">
        <f t="shared" si="7"/>
        <v>-19020</v>
      </c>
      <c r="Q72" s="8"/>
      <c r="R72" s="8"/>
    </row>
    <row r="73" spans="1:18">
      <c r="A73" s="4">
        <v>100807</v>
      </c>
      <c r="B73" s="1">
        <v>45531</v>
      </c>
      <c r="C73" s="1">
        <v>45298</v>
      </c>
      <c r="D73" t="s">
        <v>400</v>
      </c>
      <c r="E73" t="s">
        <v>57</v>
      </c>
      <c r="F73">
        <v>4</v>
      </c>
      <c r="G73">
        <v>570</v>
      </c>
      <c r="H73">
        <v>5</v>
      </c>
      <c r="I73" t="s">
        <v>29</v>
      </c>
      <c r="J73" t="s">
        <v>13</v>
      </c>
      <c r="K73" s="6">
        <f t="shared" si="4"/>
        <v>2280</v>
      </c>
      <c r="L73" s="6">
        <f t="shared" si="5"/>
        <v>-9120</v>
      </c>
      <c r="M73" s="6">
        <f>_xlfn.XLOOKUP(E73, Products!A:A, Products!E:E)</f>
        <v>270</v>
      </c>
      <c r="N73" s="6">
        <f t="shared" si="6"/>
        <v>1080</v>
      </c>
      <c r="O73" s="8">
        <f t="shared" si="7"/>
        <v>-10200</v>
      </c>
      <c r="Q73" s="8"/>
      <c r="R73" s="8"/>
    </row>
    <row r="74" spans="1:18">
      <c r="A74" s="4">
        <v>100470</v>
      </c>
      <c r="B74" s="1">
        <v>45529</v>
      </c>
      <c r="C74" s="1">
        <v>45296</v>
      </c>
      <c r="D74" t="s">
        <v>355</v>
      </c>
      <c r="E74" t="s">
        <v>85</v>
      </c>
      <c r="F74">
        <v>4</v>
      </c>
      <c r="G74">
        <v>324</v>
      </c>
      <c r="H74">
        <v>0</v>
      </c>
      <c r="I74" t="s">
        <v>12</v>
      </c>
      <c r="J74" t="s">
        <v>26</v>
      </c>
      <c r="K74" s="6">
        <f t="shared" si="4"/>
        <v>1296</v>
      </c>
      <c r="L74" s="6">
        <f t="shared" si="5"/>
        <v>1296</v>
      </c>
      <c r="M74" s="6">
        <f>_xlfn.XLOOKUP(E74, Products!A:A, Products!E:E)</f>
        <v>148</v>
      </c>
      <c r="N74" s="6">
        <f t="shared" si="6"/>
        <v>592</v>
      </c>
      <c r="O74" s="8">
        <f t="shared" si="7"/>
        <v>704</v>
      </c>
      <c r="Q74" s="8"/>
      <c r="R74" s="8"/>
    </row>
    <row r="75" spans="1:18">
      <c r="A75" s="4">
        <v>100676</v>
      </c>
      <c r="B75" s="1">
        <v>45529</v>
      </c>
      <c r="C75" s="1">
        <v>45299</v>
      </c>
      <c r="D75" t="s">
        <v>157</v>
      </c>
      <c r="E75" t="s">
        <v>34</v>
      </c>
      <c r="F75">
        <v>4</v>
      </c>
      <c r="G75">
        <v>1339</v>
      </c>
      <c r="H75">
        <v>0</v>
      </c>
      <c r="I75" t="s">
        <v>19</v>
      </c>
      <c r="J75" t="s">
        <v>13</v>
      </c>
      <c r="K75" s="6">
        <f t="shared" si="4"/>
        <v>5356</v>
      </c>
      <c r="L75" s="6">
        <f t="shared" si="5"/>
        <v>5356</v>
      </c>
      <c r="M75" s="6">
        <f>_xlfn.XLOOKUP(E75, Products!A:A, Products!E:E)</f>
        <v>187</v>
      </c>
      <c r="N75" s="6">
        <f t="shared" si="6"/>
        <v>748</v>
      </c>
      <c r="O75" s="8">
        <f t="shared" si="7"/>
        <v>4608</v>
      </c>
      <c r="Q75" s="8"/>
      <c r="R75" s="8"/>
    </row>
    <row r="76" spans="1:18">
      <c r="A76" s="4">
        <v>100014</v>
      </c>
      <c r="B76" s="1">
        <v>45528</v>
      </c>
      <c r="C76" s="1">
        <v>45302</v>
      </c>
      <c r="D76" t="s">
        <v>40</v>
      </c>
      <c r="E76" t="s">
        <v>44</v>
      </c>
      <c r="F76">
        <v>4</v>
      </c>
      <c r="G76">
        <v>488</v>
      </c>
      <c r="H76">
        <v>10</v>
      </c>
      <c r="I76" t="s">
        <v>29</v>
      </c>
      <c r="J76" t="s">
        <v>13</v>
      </c>
      <c r="K76" s="6">
        <f t="shared" si="4"/>
        <v>1952</v>
      </c>
      <c r="L76" s="6">
        <f t="shared" si="5"/>
        <v>-17568</v>
      </c>
      <c r="M76" s="6">
        <f>_xlfn.XLOOKUP(E76, Products!A:A, Products!E:E)</f>
        <v>204</v>
      </c>
      <c r="N76" s="6">
        <f t="shared" si="6"/>
        <v>816</v>
      </c>
      <c r="O76" s="8">
        <f t="shared" si="7"/>
        <v>-18384</v>
      </c>
      <c r="Q76" s="8"/>
      <c r="R76" s="8"/>
    </row>
    <row r="77" spans="1:18">
      <c r="A77" s="4">
        <v>100359</v>
      </c>
      <c r="B77" s="1">
        <v>45528</v>
      </c>
      <c r="C77" s="1">
        <v>45296</v>
      </c>
      <c r="D77" t="s">
        <v>266</v>
      </c>
      <c r="E77" t="s">
        <v>242</v>
      </c>
      <c r="F77">
        <v>4</v>
      </c>
      <c r="G77">
        <v>999</v>
      </c>
      <c r="H77">
        <v>5</v>
      </c>
      <c r="I77" t="s">
        <v>19</v>
      </c>
      <c r="J77" t="s">
        <v>26</v>
      </c>
      <c r="K77" s="6">
        <f t="shared" si="4"/>
        <v>3996</v>
      </c>
      <c r="L77" s="6">
        <f t="shared" si="5"/>
        <v>-15984</v>
      </c>
      <c r="M77" s="6">
        <f>_xlfn.XLOOKUP(E77, Products!A:A, Products!E:E)</f>
        <v>140</v>
      </c>
      <c r="N77" s="6">
        <f t="shared" si="6"/>
        <v>560</v>
      </c>
      <c r="O77" s="8">
        <f t="shared" si="7"/>
        <v>-16544</v>
      </c>
      <c r="Q77" s="8"/>
      <c r="R77" s="8"/>
    </row>
    <row r="78" spans="1:18">
      <c r="A78" s="4">
        <v>100240</v>
      </c>
      <c r="B78" s="1">
        <v>45526</v>
      </c>
      <c r="C78" s="1">
        <v>45295</v>
      </c>
      <c r="D78" t="s">
        <v>162</v>
      </c>
      <c r="E78" t="s">
        <v>21</v>
      </c>
      <c r="F78">
        <v>4</v>
      </c>
      <c r="G78">
        <v>993</v>
      </c>
      <c r="H78">
        <v>0</v>
      </c>
      <c r="I78" t="s">
        <v>32</v>
      </c>
      <c r="J78" t="s">
        <v>26</v>
      </c>
      <c r="K78" s="6">
        <f t="shared" si="4"/>
        <v>3972</v>
      </c>
      <c r="L78" s="6">
        <f t="shared" si="5"/>
        <v>3972</v>
      </c>
      <c r="M78" s="6">
        <f>_xlfn.XLOOKUP(E78, Products!A:A, Products!E:E)</f>
        <v>279</v>
      </c>
      <c r="N78" s="6">
        <f t="shared" si="6"/>
        <v>1116</v>
      </c>
      <c r="O78" s="8">
        <f t="shared" si="7"/>
        <v>2856</v>
      </c>
      <c r="Q78" s="8"/>
      <c r="R78" s="8"/>
    </row>
    <row r="79" spans="1:18">
      <c r="A79" s="4">
        <v>100772</v>
      </c>
      <c r="B79" s="1">
        <v>45525</v>
      </c>
      <c r="C79" s="1">
        <v>45299</v>
      </c>
      <c r="D79" t="s">
        <v>371</v>
      </c>
      <c r="E79" t="s">
        <v>85</v>
      </c>
      <c r="F79">
        <v>4</v>
      </c>
      <c r="G79">
        <v>1183</v>
      </c>
      <c r="H79">
        <v>15</v>
      </c>
      <c r="I79" t="s">
        <v>19</v>
      </c>
      <c r="J79" t="s">
        <v>16</v>
      </c>
      <c r="K79" s="6">
        <f t="shared" si="4"/>
        <v>4732</v>
      </c>
      <c r="L79" s="6">
        <f t="shared" si="5"/>
        <v>-66248</v>
      </c>
      <c r="M79" s="6">
        <f>_xlfn.XLOOKUP(E79, Products!A:A, Products!E:E)</f>
        <v>148</v>
      </c>
      <c r="N79" s="6">
        <f t="shared" si="6"/>
        <v>592</v>
      </c>
      <c r="O79" s="8">
        <f t="shared" si="7"/>
        <v>-66840</v>
      </c>
      <c r="Q79" s="8"/>
      <c r="R79" s="8"/>
    </row>
    <row r="80" spans="1:18">
      <c r="A80" s="4">
        <v>100426</v>
      </c>
      <c r="B80" s="1">
        <v>45525</v>
      </c>
      <c r="C80" s="1">
        <v>45302</v>
      </c>
      <c r="D80" t="s">
        <v>114</v>
      </c>
      <c r="E80" t="s">
        <v>242</v>
      </c>
      <c r="F80">
        <v>4</v>
      </c>
      <c r="G80">
        <v>1695</v>
      </c>
      <c r="H80">
        <v>0</v>
      </c>
      <c r="I80" t="s">
        <v>32</v>
      </c>
      <c r="J80" t="s">
        <v>13</v>
      </c>
      <c r="K80" s="6">
        <f t="shared" si="4"/>
        <v>6780</v>
      </c>
      <c r="L80" s="6">
        <f t="shared" si="5"/>
        <v>6780</v>
      </c>
      <c r="M80" s="6">
        <f>_xlfn.XLOOKUP(E80, Products!A:A, Products!E:E)</f>
        <v>140</v>
      </c>
      <c r="N80" s="6">
        <f t="shared" si="6"/>
        <v>560</v>
      </c>
      <c r="O80" s="8">
        <f t="shared" si="7"/>
        <v>6220</v>
      </c>
      <c r="Q80" s="8"/>
      <c r="R80" s="8"/>
    </row>
    <row r="81" spans="1:18">
      <c r="A81" s="4">
        <v>100337</v>
      </c>
      <c r="B81" s="1">
        <v>45524</v>
      </c>
      <c r="C81" s="1">
        <v>45300</v>
      </c>
      <c r="D81" t="s">
        <v>312</v>
      </c>
      <c r="E81" t="s">
        <v>134</v>
      </c>
      <c r="F81">
        <v>4</v>
      </c>
      <c r="G81">
        <v>304</v>
      </c>
      <c r="H81">
        <v>0</v>
      </c>
      <c r="I81" t="s">
        <v>12</v>
      </c>
      <c r="J81" t="s">
        <v>16</v>
      </c>
      <c r="K81" s="6">
        <f t="shared" si="4"/>
        <v>1216</v>
      </c>
      <c r="L81" s="6">
        <f t="shared" si="5"/>
        <v>1216</v>
      </c>
      <c r="M81" s="6">
        <f>_xlfn.XLOOKUP(E81, Products!A:A, Products!E:E)</f>
        <v>179</v>
      </c>
      <c r="N81" s="6">
        <f t="shared" si="6"/>
        <v>716</v>
      </c>
      <c r="O81" s="8">
        <f t="shared" si="7"/>
        <v>500</v>
      </c>
      <c r="Q81" s="8"/>
      <c r="R81" s="8"/>
    </row>
    <row r="82" spans="1:18">
      <c r="A82" s="4">
        <v>100186</v>
      </c>
      <c r="B82" s="1">
        <v>45523</v>
      </c>
      <c r="C82" s="1">
        <v>45298</v>
      </c>
      <c r="D82" t="s">
        <v>160</v>
      </c>
      <c r="E82" t="s">
        <v>236</v>
      </c>
      <c r="F82">
        <v>4</v>
      </c>
      <c r="G82">
        <v>1586</v>
      </c>
      <c r="H82">
        <v>10</v>
      </c>
      <c r="I82" t="s">
        <v>12</v>
      </c>
      <c r="J82" t="s">
        <v>13</v>
      </c>
      <c r="K82" s="6">
        <f t="shared" si="4"/>
        <v>6344</v>
      </c>
      <c r="L82" s="6">
        <f t="shared" si="5"/>
        <v>-57096</v>
      </c>
      <c r="M82" s="6">
        <f>_xlfn.XLOOKUP(E82, Products!A:A, Products!E:E)</f>
        <v>120</v>
      </c>
      <c r="N82" s="6">
        <f t="shared" si="6"/>
        <v>480</v>
      </c>
      <c r="O82" s="8">
        <f t="shared" si="7"/>
        <v>-57576</v>
      </c>
      <c r="Q82" s="8"/>
      <c r="R82" s="8"/>
    </row>
    <row r="83" spans="1:18">
      <c r="A83" s="4">
        <v>100566</v>
      </c>
      <c r="B83" s="1">
        <v>45522</v>
      </c>
      <c r="C83" s="1">
        <v>45300</v>
      </c>
      <c r="D83" t="s">
        <v>371</v>
      </c>
      <c r="E83" t="s">
        <v>325</v>
      </c>
      <c r="F83">
        <v>4</v>
      </c>
      <c r="G83">
        <v>1056</v>
      </c>
      <c r="H83">
        <v>10</v>
      </c>
      <c r="I83" t="s">
        <v>29</v>
      </c>
      <c r="J83" t="s">
        <v>26</v>
      </c>
      <c r="K83" s="6">
        <f t="shared" si="4"/>
        <v>4224</v>
      </c>
      <c r="L83" s="6">
        <f t="shared" si="5"/>
        <v>-38016</v>
      </c>
      <c r="M83" s="6">
        <f>_xlfn.XLOOKUP(E83, Products!A:A, Products!E:E)</f>
        <v>68</v>
      </c>
      <c r="N83" s="6">
        <f t="shared" si="6"/>
        <v>272</v>
      </c>
      <c r="O83" s="8">
        <f t="shared" si="7"/>
        <v>-38288</v>
      </c>
      <c r="Q83" s="8"/>
      <c r="R83" s="8"/>
    </row>
    <row r="84" spans="1:18">
      <c r="A84" s="4">
        <v>100994</v>
      </c>
      <c r="B84" s="1">
        <v>45520</v>
      </c>
      <c r="C84" s="1">
        <v>45299</v>
      </c>
      <c r="D84" t="s">
        <v>79</v>
      </c>
      <c r="E84" t="s">
        <v>187</v>
      </c>
      <c r="F84">
        <v>4</v>
      </c>
      <c r="G84">
        <v>1572</v>
      </c>
      <c r="H84">
        <v>5</v>
      </c>
      <c r="I84" t="s">
        <v>19</v>
      </c>
      <c r="J84" t="s">
        <v>13</v>
      </c>
      <c r="K84" s="6">
        <f t="shared" si="4"/>
        <v>6288</v>
      </c>
      <c r="L84" s="6">
        <f t="shared" si="5"/>
        <v>-25152</v>
      </c>
      <c r="M84" s="6">
        <f>_xlfn.XLOOKUP(E84, Products!A:A, Products!E:E)</f>
        <v>68</v>
      </c>
      <c r="N84" s="6">
        <f t="shared" si="6"/>
        <v>272</v>
      </c>
      <c r="O84" s="8">
        <f t="shared" si="7"/>
        <v>-25424</v>
      </c>
      <c r="Q84" s="8"/>
      <c r="R84" s="8"/>
    </row>
    <row r="85" spans="1:18">
      <c r="A85" s="4">
        <v>100027</v>
      </c>
      <c r="B85" s="1">
        <v>45518</v>
      </c>
      <c r="C85" s="1">
        <v>45295</v>
      </c>
      <c r="D85" t="s">
        <v>64</v>
      </c>
      <c r="E85" t="s">
        <v>65</v>
      </c>
      <c r="F85">
        <v>4</v>
      </c>
      <c r="G85">
        <v>1418</v>
      </c>
      <c r="H85">
        <v>5</v>
      </c>
      <c r="I85" t="s">
        <v>12</v>
      </c>
      <c r="J85" t="s">
        <v>13</v>
      </c>
      <c r="K85" s="6">
        <f t="shared" si="4"/>
        <v>5672</v>
      </c>
      <c r="L85" s="6">
        <f t="shared" si="5"/>
        <v>-22688</v>
      </c>
      <c r="M85" s="6">
        <f>_xlfn.XLOOKUP(E85, Products!A:A, Products!E:E)</f>
        <v>213</v>
      </c>
      <c r="N85" s="6">
        <f t="shared" si="6"/>
        <v>852</v>
      </c>
      <c r="O85" s="8">
        <f t="shared" si="7"/>
        <v>-23540</v>
      </c>
      <c r="Q85" s="8"/>
      <c r="R85" s="8"/>
    </row>
    <row r="86" spans="1:18">
      <c r="A86" s="4">
        <v>100591</v>
      </c>
      <c r="B86" s="1">
        <v>45516</v>
      </c>
      <c r="C86" s="1">
        <v>45296</v>
      </c>
      <c r="D86" t="s">
        <v>280</v>
      </c>
      <c r="E86" t="s">
        <v>43</v>
      </c>
      <c r="F86">
        <v>4</v>
      </c>
      <c r="G86">
        <v>628</v>
      </c>
      <c r="H86">
        <v>15</v>
      </c>
      <c r="I86" t="s">
        <v>12</v>
      </c>
      <c r="J86" t="s">
        <v>22</v>
      </c>
      <c r="K86" s="6">
        <f t="shared" si="4"/>
        <v>2512</v>
      </c>
      <c r="L86" s="6">
        <f t="shared" si="5"/>
        <v>-35168</v>
      </c>
      <c r="M86" s="6">
        <f>_xlfn.XLOOKUP(E86, Products!A:A, Products!E:E)</f>
        <v>228</v>
      </c>
      <c r="N86" s="6">
        <f t="shared" si="6"/>
        <v>912</v>
      </c>
      <c r="O86" s="8">
        <f t="shared" si="7"/>
        <v>-36080</v>
      </c>
      <c r="Q86" s="8"/>
      <c r="R86" s="8"/>
    </row>
    <row r="87" spans="1:18">
      <c r="A87" s="4">
        <v>100236</v>
      </c>
      <c r="B87" s="1">
        <v>45514</v>
      </c>
      <c r="C87" s="1">
        <v>45294</v>
      </c>
      <c r="D87" t="s">
        <v>127</v>
      </c>
      <c r="E87" t="s">
        <v>236</v>
      </c>
      <c r="F87">
        <v>4</v>
      </c>
      <c r="G87">
        <v>1854</v>
      </c>
      <c r="H87">
        <v>0</v>
      </c>
      <c r="I87" t="s">
        <v>32</v>
      </c>
      <c r="J87" t="s">
        <v>22</v>
      </c>
      <c r="K87" s="6">
        <f t="shared" si="4"/>
        <v>7416</v>
      </c>
      <c r="L87" s="6">
        <f t="shared" si="5"/>
        <v>7416</v>
      </c>
      <c r="M87" s="6">
        <f>_xlfn.XLOOKUP(E87, Products!A:A, Products!E:E)</f>
        <v>120</v>
      </c>
      <c r="N87" s="6">
        <f t="shared" si="6"/>
        <v>480</v>
      </c>
      <c r="O87" s="8">
        <f t="shared" si="7"/>
        <v>6936</v>
      </c>
      <c r="Q87" s="8"/>
      <c r="R87" s="8"/>
    </row>
    <row r="88" spans="1:18">
      <c r="A88" s="4">
        <v>100653</v>
      </c>
      <c r="B88" s="1">
        <v>45512</v>
      </c>
      <c r="C88" s="1">
        <v>45294</v>
      </c>
      <c r="D88" t="s">
        <v>382</v>
      </c>
      <c r="E88" t="s">
        <v>71</v>
      </c>
      <c r="F88">
        <v>4</v>
      </c>
      <c r="G88">
        <v>1055</v>
      </c>
      <c r="H88">
        <v>15</v>
      </c>
      <c r="I88" t="s">
        <v>12</v>
      </c>
      <c r="J88" t="s">
        <v>16</v>
      </c>
      <c r="K88" s="6">
        <f t="shared" si="4"/>
        <v>4220</v>
      </c>
      <c r="L88" s="6">
        <f t="shared" si="5"/>
        <v>-59080</v>
      </c>
      <c r="M88" s="6">
        <f>_xlfn.XLOOKUP(E88, Products!A:A, Products!E:E)</f>
        <v>126</v>
      </c>
      <c r="N88" s="6">
        <f t="shared" si="6"/>
        <v>504</v>
      </c>
      <c r="O88" s="8">
        <f t="shared" si="7"/>
        <v>-59584</v>
      </c>
      <c r="Q88" s="8"/>
      <c r="R88" s="8"/>
    </row>
    <row r="89" spans="1:18">
      <c r="A89" s="4">
        <v>100902</v>
      </c>
      <c r="B89" s="1">
        <v>45511</v>
      </c>
      <c r="C89" s="1">
        <v>45299</v>
      </c>
      <c r="D89" t="s">
        <v>175</v>
      </c>
      <c r="E89" t="s">
        <v>61</v>
      </c>
      <c r="F89">
        <v>4</v>
      </c>
      <c r="G89">
        <v>754</v>
      </c>
      <c r="H89">
        <v>5</v>
      </c>
      <c r="I89" t="s">
        <v>12</v>
      </c>
      <c r="J89" t="s">
        <v>16</v>
      </c>
      <c r="K89" s="6">
        <f t="shared" si="4"/>
        <v>3016</v>
      </c>
      <c r="L89" s="6">
        <f t="shared" si="5"/>
        <v>-12064</v>
      </c>
      <c r="M89" s="6">
        <f>_xlfn.XLOOKUP(E89, Products!A:A, Products!E:E)</f>
        <v>65</v>
      </c>
      <c r="N89" s="6">
        <f t="shared" si="6"/>
        <v>260</v>
      </c>
      <c r="O89" s="8">
        <f t="shared" si="7"/>
        <v>-12324</v>
      </c>
      <c r="Q89" s="8"/>
      <c r="R89" s="8"/>
    </row>
    <row r="90" spans="1:18">
      <c r="A90" s="4">
        <v>100992</v>
      </c>
      <c r="B90" s="1">
        <v>45509</v>
      </c>
      <c r="C90" s="1">
        <v>45294</v>
      </c>
      <c r="D90" t="s">
        <v>215</v>
      </c>
      <c r="E90" t="s">
        <v>138</v>
      </c>
      <c r="F90">
        <v>4</v>
      </c>
      <c r="G90">
        <v>1414</v>
      </c>
      <c r="H90">
        <v>15</v>
      </c>
      <c r="I90" t="s">
        <v>19</v>
      </c>
      <c r="J90" t="s">
        <v>16</v>
      </c>
      <c r="K90" s="6">
        <f t="shared" si="4"/>
        <v>5656</v>
      </c>
      <c r="L90" s="6">
        <f t="shared" si="5"/>
        <v>-79184</v>
      </c>
      <c r="M90" s="6">
        <f>_xlfn.XLOOKUP(E90, Products!A:A, Products!E:E)</f>
        <v>186</v>
      </c>
      <c r="N90" s="6">
        <f t="shared" si="6"/>
        <v>744</v>
      </c>
      <c r="O90" s="8">
        <f t="shared" si="7"/>
        <v>-79928</v>
      </c>
      <c r="Q90" s="8"/>
      <c r="R90" s="8"/>
    </row>
    <row r="91" spans="1:18">
      <c r="A91" s="4">
        <v>100860</v>
      </c>
      <c r="B91" s="1">
        <v>45508</v>
      </c>
      <c r="C91" s="1">
        <v>45296</v>
      </c>
      <c r="D91" t="s">
        <v>147</v>
      </c>
      <c r="E91" t="s">
        <v>43</v>
      </c>
      <c r="F91">
        <v>4</v>
      </c>
      <c r="G91">
        <v>1004</v>
      </c>
      <c r="H91">
        <v>10</v>
      </c>
      <c r="I91" t="s">
        <v>12</v>
      </c>
      <c r="J91" t="s">
        <v>16</v>
      </c>
      <c r="K91" s="6">
        <f t="shared" si="4"/>
        <v>4016</v>
      </c>
      <c r="L91" s="6">
        <f t="shared" si="5"/>
        <v>-36144</v>
      </c>
      <c r="M91" s="6">
        <f>_xlfn.XLOOKUP(E91, Products!A:A, Products!E:E)</f>
        <v>228</v>
      </c>
      <c r="N91" s="6">
        <f t="shared" si="6"/>
        <v>912</v>
      </c>
      <c r="O91" s="8">
        <f t="shared" si="7"/>
        <v>-37056</v>
      </c>
      <c r="Q91" s="8"/>
      <c r="R91" s="8"/>
    </row>
    <row r="92" spans="1:18">
      <c r="A92" s="4">
        <v>100135</v>
      </c>
      <c r="B92" s="1">
        <v>45507</v>
      </c>
      <c r="C92" s="1">
        <v>45294</v>
      </c>
      <c r="D92" t="s">
        <v>202</v>
      </c>
      <c r="E92" t="s">
        <v>139</v>
      </c>
      <c r="F92">
        <v>4</v>
      </c>
      <c r="G92">
        <v>1694</v>
      </c>
      <c r="H92">
        <v>15</v>
      </c>
      <c r="I92" t="s">
        <v>32</v>
      </c>
      <c r="J92" t="s">
        <v>13</v>
      </c>
      <c r="K92" s="6">
        <f t="shared" si="4"/>
        <v>6776</v>
      </c>
      <c r="L92" s="6">
        <f t="shared" si="5"/>
        <v>-94864</v>
      </c>
      <c r="M92" s="6">
        <f>_xlfn.XLOOKUP(E92, Products!A:A, Products!E:E)</f>
        <v>280</v>
      </c>
      <c r="N92" s="6">
        <f t="shared" si="6"/>
        <v>1120</v>
      </c>
      <c r="O92" s="8">
        <f t="shared" si="7"/>
        <v>-95984</v>
      </c>
      <c r="Q92" s="8"/>
      <c r="R92" s="8"/>
    </row>
    <row r="93" spans="1:18">
      <c r="A93" s="4">
        <v>100701</v>
      </c>
      <c r="B93" s="1">
        <v>45507</v>
      </c>
      <c r="C93" s="1">
        <v>45295</v>
      </c>
      <c r="D93" t="s">
        <v>67</v>
      </c>
      <c r="E93" t="s">
        <v>55</v>
      </c>
      <c r="F93">
        <v>4</v>
      </c>
      <c r="G93">
        <v>527</v>
      </c>
      <c r="H93">
        <v>0</v>
      </c>
      <c r="I93" t="s">
        <v>29</v>
      </c>
      <c r="J93" t="s">
        <v>22</v>
      </c>
      <c r="K93" s="6">
        <f t="shared" si="4"/>
        <v>2108</v>
      </c>
      <c r="L93" s="6">
        <f t="shared" si="5"/>
        <v>2108</v>
      </c>
      <c r="M93" s="6">
        <f>_xlfn.XLOOKUP(E93, Products!A:A, Products!E:E)</f>
        <v>141</v>
      </c>
      <c r="N93" s="6">
        <f t="shared" si="6"/>
        <v>564</v>
      </c>
      <c r="O93" s="8">
        <f t="shared" si="7"/>
        <v>1544</v>
      </c>
      <c r="Q93" s="8"/>
      <c r="R93" s="8"/>
    </row>
    <row r="94" spans="1:18">
      <c r="A94" s="4">
        <v>100395</v>
      </c>
      <c r="B94" s="1">
        <v>45506</v>
      </c>
      <c r="C94" s="1">
        <v>45302</v>
      </c>
      <c r="D94" t="s">
        <v>315</v>
      </c>
      <c r="E94" t="s">
        <v>63</v>
      </c>
      <c r="F94">
        <v>4</v>
      </c>
      <c r="G94">
        <v>989</v>
      </c>
      <c r="H94">
        <v>15</v>
      </c>
      <c r="I94" t="s">
        <v>29</v>
      </c>
      <c r="J94" t="s">
        <v>16</v>
      </c>
      <c r="K94" s="6">
        <f t="shared" si="4"/>
        <v>3956</v>
      </c>
      <c r="L94" s="6">
        <f t="shared" si="5"/>
        <v>-55384</v>
      </c>
      <c r="M94" s="6">
        <f>_xlfn.XLOOKUP(E94, Products!A:A, Products!E:E)</f>
        <v>294</v>
      </c>
      <c r="N94" s="6">
        <f t="shared" si="6"/>
        <v>1176</v>
      </c>
      <c r="O94" s="8">
        <f t="shared" si="7"/>
        <v>-56560</v>
      </c>
      <c r="Q94" s="8"/>
      <c r="R94" s="8"/>
    </row>
    <row r="95" spans="1:18">
      <c r="A95" s="4">
        <v>100700</v>
      </c>
      <c r="B95" s="1">
        <v>45505</v>
      </c>
      <c r="C95" s="1">
        <v>45300</v>
      </c>
      <c r="D95" t="s">
        <v>169</v>
      </c>
      <c r="E95" t="s">
        <v>75</v>
      </c>
      <c r="F95">
        <v>4</v>
      </c>
      <c r="G95">
        <v>567</v>
      </c>
      <c r="H95">
        <v>0</v>
      </c>
      <c r="I95" t="s">
        <v>19</v>
      </c>
      <c r="J95" t="s">
        <v>22</v>
      </c>
      <c r="K95" s="6">
        <f t="shared" si="4"/>
        <v>2268</v>
      </c>
      <c r="L95" s="6">
        <f t="shared" si="5"/>
        <v>2268</v>
      </c>
      <c r="M95" s="6">
        <f>_xlfn.XLOOKUP(E95, Products!A:A, Products!E:E)</f>
        <v>70</v>
      </c>
      <c r="N95" s="6">
        <f t="shared" si="6"/>
        <v>280</v>
      </c>
      <c r="O95" s="8">
        <f t="shared" si="7"/>
        <v>1988</v>
      </c>
      <c r="Q95" s="8"/>
      <c r="R95" s="8"/>
    </row>
    <row r="96" spans="1:18">
      <c r="A96" s="4">
        <v>100954</v>
      </c>
      <c r="B96" s="1">
        <v>45505</v>
      </c>
      <c r="C96" s="1">
        <v>45297</v>
      </c>
      <c r="D96" t="s">
        <v>223</v>
      </c>
      <c r="E96" t="s">
        <v>71</v>
      </c>
      <c r="F96">
        <v>4</v>
      </c>
      <c r="G96">
        <v>697</v>
      </c>
      <c r="H96">
        <v>5</v>
      </c>
      <c r="I96" t="s">
        <v>32</v>
      </c>
      <c r="J96" t="s">
        <v>22</v>
      </c>
      <c r="K96" s="6">
        <f t="shared" si="4"/>
        <v>2788</v>
      </c>
      <c r="L96" s="6">
        <f t="shared" si="5"/>
        <v>-11152</v>
      </c>
      <c r="M96" s="6">
        <f>_xlfn.XLOOKUP(E96, Products!A:A, Products!E:E)</f>
        <v>126</v>
      </c>
      <c r="N96" s="6">
        <f t="shared" si="6"/>
        <v>504</v>
      </c>
      <c r="O96" s="8">
        <f t="shared" si="7"/>
        <v>-11656</v>
      </c>
      <c r="Q96" s="8"/>
      <c r="R96" s="8"/>
    </row>
    <row r="97" spans="1:18">
      <c r="A97" s="4">
        <v>100423</v>
      </c>
      <c r="B97" s="1">
        <v>45504</v>
      </c>
      <c r="C97" s="1">
        <v>45298</v>
      </c>
      <c r="D97" t="s">
        <v>343</v>
      </c>
      <c r="E97" t="s">
        <v>331</v>
      </c>
      <c r="F97">
        <v>4</v>
      </c>
      <c r="G97">
        <v>420</v>
      </c>
      <c r="H97">
        <v>0</v>
      </c>
      <c r="I97" t="s">
        <v>32</v>
      </c>
      <c r="J97" t="s">
        <v>16</v>
      </c>
      <c r="K97" s="6">
        <f t="shared" si="4"/>
        <v>1680</v>
      </c>
      <c r="L97" s="6">
        <f t="shared" si="5"/>
        <v>1680</v>
      </c>
      <c r="M97" s="6">
        <f>_xlfn.XLOOKUP(E97, Products!A:A, Products!E:E)</f>
        <v>128</v>
      </c>
      <c r="N97" s="6">
        <f t="shared" si="6"/>
        <v>512</v>
      </c>
      <c r="O97" s="8">
        <f t="shared" si="7"/>
        <v>1168</v>
      </c>
      <c r="Q97" s="8"/>
      <c r="R97" s="8"/>
    </row>
    <row r="98" spans="1:18">
      <c r="A98" s="4">
        <v>100233</v>
      </c>
      <c r="B98" s="1">
        <v>45502</v>
      </c>
      <c r="C98" s="1">
        <v>45297</v>
      </c>
      <c r="D98" t="s">
        <v>51</v>
      </c>
      <c r="E98" t="s">
        <v>61</v>
      </c>
      <c r="F98">
        <v>4</v>
      </c>
      <c r="G98">
        <v>1348</v>
      </c>
      <c r="H98">
        <v>0</v>
      </c>
      <c r="I98" t="s">
        <v>29</v>
      </c>
      <c r="J98" t="s">
        <v>26</v>
      </c>
      <c r="K98" s="6">
        <f t="shared" si="4"/>
        <v>5392</v>
      </c>
      <c r="L98" s="6">
        <f t="shared" si="5"/>
        <v>5392</v>
      </c>
      <c r="M98" s="6">
        <f>_xlfn.XLOOKUP(E98, Products!A:A, Products!E:E)</f>
        <v>65</v>
      </c>
      <c r="N98" s="6">
        <f t="shared" si="6"/>
        <v>260</v>
      </c>
      <c r="O98" s="8">
        <f t="shared" si="7"/>
        <v>5132</v>
      </c>
      <c r="Q98" s="8"/>
      <c r="R98" s="8"/>
    </row>
    <row r="99" spans="1:18">
      <c r="A99" s="4">
        <v>100887</v>
      </c>
      <c r="B99" s="1">
        <v>45501</v>
      </c>
      <c r="C99" s="1">
        <v>45296</v>
      </c>
      <c r="D99" t="s">
        <v>318</v>
      </c>
      <c r="E99" t="s">
        <v>204</v>
      </c>
      <c r="F99">
        <v>4</v>
      </c>
      <c r="G99">
        <v>390</v>
      </c>
      <c r="H99">
        <v>10</v>
      </c>
      <c r="I99" t="s">
        <v>12</v>
      </c>
      <c r="J99" t="s">
        <v>26</v>
      </c>
      <c r="K99" s="6">
        <f t="shared" si="4"/>
        <v>1560</v>
      </c>
      <c r="L99" s="6">
        <f t="shared" si="5"/>
        <v>-14040</v>
      </c>
      <c r="M99" s="6">
        <f>_xlfn.XLOOKUP(E99, Products!A:A, Products!E:E)</f>
        <v>229</v>
      </c>
      <c r="N99" s="6">
        <f t="shared" si="6"/>
        <v>916</v>
      </c>
      <c r="O99" s="8">
        <f t="shared" si="7"/>
        <v>-14956</v>
      </c>
      <c r="Q99" s="8"/>
      <c r="R99" s="8"/>
    </row>
    <row r="100" spans="1:18">
      <c r="A100" s="4">
        <v>100370</v>
      </c>
      <c r="B100" s="1">
        <v>45501</v>
      </c>
      <c r="C100" s="1">
        <v>45302</v>
      </c>
      <c r="D100" t="s">
        <v>100</v>
      </c>
      <c r="E100" t="s">
        <v>325</v>
      </c>
      <c r="F100">
        <v>4</v>
      </c>
      <c r="G100">
        <v>412</v>
      </c>
      <c r="H100">
        <v>5</v>
      </c>
      <c r="I100" t="s">
        <v>19</v>
      </c>
      <c r="J100" t="s">
        <v>16</v>
      </c>
      <c r="K100" s="6">
        <f t="shared" si="4"/>
        <v>1648</v>
      </c>
      <c r="L100" s="6">
        <f t="shared" si="5"/>
        <v>-6592</v>
      </c>
      <c r="M100" s="6">
        <f>_xlfn.XLOOKUP(E100, Products!A:A, Products!E:E)</f>
        <v>68</v>
      </c>
      <c r="N100" s="6">
        <f t="shared" si="6"/>
        <v>272</v>
      </c>
      <c r="O100" s="8">
        <f t="shared" si="7"/>
        <v>-6864</v>
      </c>
      <c r="Q100" s="8"/>
      <c r="R100" s="8"/>
    </row>
    <row r="101" spans="1:18">
      <c r="A101" s="4">
        <v>100557</v>
      </c>
      <c r="B101" s="1">
        <v>45498</v>
      </c>
      <c r="C101" s="1">
        <v>45296</v>
      </c>
      <c r="D101" t="s">
        <v>135</v>
      </c>
      <c r="E101" t="s">
        <v>120</v>
      </c>
      <c r="F101">
        <v>4</v>
      </c>
      <c r="G101">
        <v>795</v>
      </c>
      <c r="H101">
        <v>10</v>
      </c>
      <c r="I101" t="s">
        <v>32</v>
      </c>
      <c r="J101" t="s">
        <v>13</v>
      </c>
      <c r="K101" s="6">
        <f t="shared" si="4"/>
        <v>3180</v>
      </c>
      <c r="L101" s="6">
        <f t="shared" si="5"/>
        <v>-28620</v>
      </c>
      <c r="M101" s="6">
        <f>_xlfn.XLOOKUP(E101, Products!A:A, Products!E:E)</f>
        <v>52</v>
      </c>
      <c r="N101" s="6">
        <f t="shared" si="6"/>
        <v>208</v>
      </c>
      <c r="O101" s="8">
        <f t="shared" si="7"/>
        <v>-28828</v>
      </c>
      <c r="Q101" s="8"/>
      <c r="R101" s="8"/>
    </row>
    <row r="102" spans="1:18">
      <c r="A102" s="4">
        <v>100396</v>
      </c>
      <c r="B102" s="1">
        <v>45498</v>
      </c>
      <c r="C102" s="1">
        <v>45301</v>
      </c>
      <c r="D102" t="s">
        <v>284</v>
      </c>
      <c r="E102" t="s">
        <v>112</v>
      </c>
      <c r="F102">
        <v>4</v>
      </c>
      <c r="G102">
        <v>222</v>
      </c>
      <c r="H102">
        <v>0</v>
      </c>
      <c r="I102" t="s">
        <v>19</v>
      </c>
      <c r="J102" t="s">
        <v>22</v>
      </c>
      <c r="K102" s="6">
        <f t="shared" si="4"/>
        <v>888</v>
      </c>
      <c r="L102" s="6">
        <f t="shared" si="5"/>
        <v>888</v>
      </c>
      <c r="M102" s="6">
        <f>_xlfn.XLOOKUP(E102, Products!A:A, Products!E:E)</f>
        <v>72</v>
      </c>
      <c r="N102" s="6">
        <f t="shared" si="6"/>
        <v>288</v>
      </c>
      <c r="O102" s="8">
        <f t="shared" si="7"/>
        <v>600</v>
      </c>
      <c r="Q102" s="8"/>
      <c r="R102" s="8"/>
    </row>
    <row r="103" spans="1:18">
      <c r="A103" s="4">
        <v>100614</v>
      </c>
      <c r="B103" s="1">
        <v>45498</v>
      </c>
      <c r="C103" s="1">
        <v>45302</v>
      </c>
      <c r="D103" t="s">
        <v>255</v>
      </c>
      <c r="E103" t="s">
        <v>73</v>
      </c>
      <c r="F103">
        <v>4</v>
      </c>
      <c r="G103">
        <v>1102</v>
      </c>
      <c r="H103">
        <v>5</v>
      </c>
      <c r="I103" t="s">
        <v>32</v>
      </c>
      <c r="J103" t="s">
        <v>26</v>
      </c>
      <c r="K103" s="6">
        <f t="shared" si="4"/>
        <v>4408</v>
      </c>
      <c r="L103" s="6">
        <f t="shared" si="5"/>
        <v>-17632</v>
      </c>
      <c r="M103" s="6">
        <f>_xlfn.XLOOKUP(E103, Products!A:A, Products!E:E)</f>
        <v>243</v>
      </c>
      <c r="N103" s="6">
        <f t="shared" si="6"/>
        <v>972</v>
      </c>
      <c r="O103" s="8">
        <f t="shared" si="7"/>
        <v>-18604</v>
      </c>
      <c r="Q103" s="8"/>
      <c r="R103" s="8"/>
    </row>
    <row r="104" spans="1:18">
      <c r="A104" s="4">
        <v>100453</v>
      </c>
      <c r="B104" s="1">
        <v>45496</v>
      </c>
      <c r="C104" s="1">
        <v>45300</v>
      </c>
      <c r="D104" t="s">
        <v>38</v>
      </c>
      <c r="E104" t="s">
        <v>236</v>
      </c>
      <c r="F104">
        <v>4</v>
      </c>
      <c r="G104">
        <v>635</v>
      </c>
      <c r="H104">
        <v>10</v>
      </c>
      <c r="I104" t="s">
        <v>29</v>
      </c>
      <c r="J104" t="s">
        <v>13</v>
      </c>
      <c r="K104" s="6">
        <f t="shared" si="4"/>
        <v>2540</v>
      </c>
      <c r="L104" s="6">
        <f t="shared" si="5"/>
        <v>-22860</v>
      </c>
      <c r="M104" s="6">
        <f>_xlfn.XLOOKUP(E104, Products!A:A, Products!E:E)</f>
        <v>120</v>
      </c>
      <c r="N104" s="6">
        <f t="shared" si="6"/>
        <v>480</v>
      </c>
      <c r="O104" s="8">
        <f t="shared" si="7"/>
        <v>-23340</v>
      </c>
      <c r="Q104" s="8"/>
      <c r="R104" s="8"/>
    </row>
    <row r="105" spans="1:18">
      <c r="A105" s="4">
        <v>100547</v>
      </c>
      <c r="B105" s="1">
        <v>45494</v>
      </c>
      <c r="C105" s="1">
        <v>45299</v>
      </c>
      <c r="D105" t="s">
        <v>335</v>
      </c>
      <c r="E105" t="s">
        <v>21</v>
      </c>
      <c r="F105">
        <v>4</v>
      </c>
      <c r="G105">
        <v>1856</v>
      </c>
      <c r="H105">
        <v>0</v>
      </c>
      <c r="I105" t="s">
        <v>29</v>
      </c>
      <c r="J105" t="s">
        <v>16</v>
      </c>
      <c r="K105" s="6">
        <f t="shared" si="4"/>
        <v>7424</v>
      </c>
      <c r="L105" s="6">
        <f t="shared" si="5"/>
        <v>7424</v>
      </c>
      <c r="M105" s="6">
        <f>_xlfn.XLOOKUP(E105, Products!A:A, Products!E:E)</f>
        <v>279</v>
      </c>
      <c r="N105" s="6">
        <f t="shared" si="6"/>
        <v>1116</v>
      </c>
      <c r="O105" s="8">
        <f t="shared" si="7"/>
        <v>6308</v>
      </c>
      <c r="Q105" s="8"/>
      <c r="R105" s="8"/>
    </row>
    <row r="106" spans="1:18">
      <c r="A106" s="4">
        <v>100042</v>
      </c>
      <c r="B106" s="1">
        <v>45491</v>
      </c>
      <c r="C106" s="1">
        <v>45296</v>
      </c>
      <c r="D106" t="s">
        <v>90</v>
      </c>
      <c r="E106" t="s">
        <v>91</v>
      </c>
      <c r="F106">
        <v>4</v>
      </c>
      <c r="G106">
        <v>1495</v>
      </c>
      <c r="H106">
        <v>0</v>
      </c>
      <c r="I106" t="s">
        <v>12</v>
      </c>
      <c r="J106" t="s">
        <v>16</v>
      </c>
      <c r="K106" s="6">
        <f t="shared" si="4"/>
        <v>5980</v>
      </c>
      <c r="L106" s="6">
        <f t="shared" si="5"/>
        <v>5980</v>
      </c>
      <c r="M106" s="6">
        <f>_xlfn.XLOOKUP(E106, Products!A:A, Products!E:E)</f>
        <v>243</v>
      </c>
      <c r="N106" s="6">
        <f t="shared" si="6"/>
        <v>972</v>
      </c>
      <c r="O106" s="8">
        <f t="shared" si="7"/>
        <v>5008</v>
      </c>
      <c r="Q106" s="8"/>
      <c r="R106" s="8"/>
    </row>
    <row r="107" spans="1:18">
      <c r="A107" s="4">
        <v>100401</v>
      </c>
      <c r="B107" s="1">
        <v>45490</v>
      </c>
      <c r="C107" s="1">
        <v>45300</v>
      </c>
      <c r="D107" t="s">
        <v>193</v>
      </c>
      <c r="E107" t="s">
        <v>68</v>
      </c>
      <c r="F107">
        <v>4</v>
      </c>
      <c r="G107">
        <v>632</v>
      </c>
      <c r="H107">
        <v>0</v>
      </c>
      <c r="I107" t="s">
        <v>12</v>
      </c>
      <c r="J107" t="s">
        <v>26</v>
      </c>
      <c r="K107" s="6">
        <f t="shared" si="4"/>
        <v>2528</v>
      </c>
      <c r="L107" s="6">
        <f t="shared" si="5"/>
        <v>2528</v>
      </c>
      <c r="M107" s="6">
        <f>_xlfn.XLOOKUP(E107, Products!A:A, Products!E:E)</f>
        <v>295</v>
      </c>
      <c r="N107" s="6">
        <f t="shared" si="6"/>
        <v>1180</v>
      </c>
      <c r="O107" s="8">
        <f t="shared" si="7"/>
        <v>1348</v>
      </c>
      <c r="Q107" s="8"/>
      <c r="R107" s="8"/>
    </row>
    <row r="108" spans="1:18">
      <c r="A108" s="4">
        <v>100712</v>
      </c>
      <c r="B108" s="1">
        <v>45483</v>
      </c>
      <c r="C108" s="1">
        <v>45299</v>
      </c>
      <c r="D108" t="s">
        <v>256</v>
      </c>
      <c r="E108" t="s">
        <v>236</v>
      </c>
      <c r="F108">
        <v>4</v>
      </c>
      <c r="G108">
        <v>252</v>
      </c>
      <c r="H108">
        <v>10</v>
      </c>
      <c r="I108" t="s">
        <v>29</v>
      </c>
      <c r="J108" t="s">
        <v>22</v>
      </c>
      <c r="K108" s="6">
        <f t="shared" si="4"/>
        <v>1008</v>
      </c>
      <c r="L108" s="6">
        <f t="shared" si="5"/>
        <v>-9072</v>
      </c>
      <c r="M108" s="6">
        <f>_xlfn.XLOOKUP(E108, Products!A:A, Products!E:E)</f>
        <v>120</v>
      </c>
      <c r="N108" s="6">
        <f t="shared" si="6"/>
        <v>480</v>
      </c>
      <c r="O108" s="8">
        <f t="shared" si="7"/>
        <v>-9552</v>
      </c>
      <c r="Q108" s="8"/>
      <c r="R108" s="8"/>
    </row>
    <row r="109" spans="1:18">
      <c r="A109" s="4">
        <v>100170</v>
      </c>
      <c r="B109" s="1">
        <v>45481</v>
      </c>
      <c r="C109" s="1">
        <v>45297</v>
      </c>
      <c r="D109" t="s">
        <v>10</v>
      </c>
      <c r="E109" t="s">
        <v>73</v>
      </c>
      <c r="F109">
        <v>4</v>
      </c>
      <c r="G109">
        <v>1791</v>
      </c>
      <c r="H109">
        <v>5</v>
      </c>
      <c r="I109" t="s">
        <v>29</v>
      </c>
      <c r="J109" t="s">
        <v>22</v>
      </c>
      <c r="K109" s="6">
        <f t="shared" si="4"/>
        <v>7164</v>
      </c>
      <c r="L109" s="6">
        <f t="shared" si="5"/>
        <v>-28656</v>
      </c>
      <c r="M109" s="6">
        <f>_xlfn.XLOOKUP(E109, Products!A:A, Products!E:E)</f>
        <v>243</v>
      </c>
      <c r="N109" s="6">
        <f t="shared" si="6"/>
        <v>972</v>
      </c>
      <c r="O109" s="8">
        <f t="shared" si="7"/>
        <v>-29628</v>
      </c>
      <c r="Q109" s="8"/>
      <c r="R109" s="8"/>
    </row>
    <row r="110" spans="1:18">
      <c r="A110" s="4">
        <v>100667</v>
      </c>
      <c r="B110" s="1">
        <v>45480</v>
      </c>
      <c r="C110" s="1">
        <v>45294</v>
      </c>
      <c r="D110" t="s">
        <v>208</v>
      </c>
      <c r="E110" t="s">
        <v>110</v>
      </c>
      <c r="F110">
        <v>4</v>
      </c>
      <c r="G110">
        <v>538</v>
      </c>
      <c r="H110">
        <v>5</v>
      </c>
      <c r="I110" t="s">
        <v>12</v>
      </c>
      <c r="J110" t="s">
        <v>16</v>
      </c>
      <c r="K110" s="6">
        <f t="shared" si="4"/>
        <v>2152</v>
      </c>
      <c r="L110" s="6">
        <f t="shared" si="5"/>
        <v>-8608</v>
      </c>
      <c r="M110" s="6">
        <f>_xlfn.XLOOKUP(E110, Products!A:A, Products!E:E)</f>
        <v>124</v>
      </c>
      <c r="N110" s="6">
        <f t="shared" si="6"/>
        <v>496</v>
      </c>
      <c r="O110" s="8">
        <f t="shared" si="7"/>
        <v>-9104</v>
      </c>
      <c r="Q110" s="8"/>
      <c r="R110" s="8"/>
    </row>
    <row r="111" spans="1:18">
      <c r="A111" s="4">
        <v>100361</v>
      </c>
      <c r="B111" s="1">
        <v>45479</v>
      </c>
      <c r="C111" s="1">
        <v>45299</v>
      </c>
      <c r="D111" t="s">
        <v>244</v>
      </c>
      <c r="E111" t="s">
        <v>91</v>
      </c>
      <c r="F111">
        <v>4</v>
      </c>
      <c r="G111">
        <v>1898</v>
      </c>
      <c r="H111">
        <v>0</v>
      </c>
      <c r="I111" t="s">
        <v>19</v>
      </c>
      <c r="J111" t="s">
        <v>16</v>
      </c>
      <c r="K111" s="6">
        <f t="shared" si="4"/>
        <v>7592</v>
      </c>
      <c r="L111" s="6">
        <f t="shared" si="5"/>
        <v>7592</v>
      </c>
      <c r="M111" s="6">
        <f>_xlfn.XLOOKUP(E111, Products!A:A, Products!E:E)</f>
        <v>243</v>
      </c>
      <c r="N111" s="6">
        <f t="shared" si="6"/>
        <v>972</v>
      </c>
      <c r="O111" s="8">
        <f t="shared" si="7"/>
        <v>6620</v>
      </c>
      <c r="Q111" s="8"/>
      <c r="R111" s="8"/>
    </row>
    <row r="112" spans="1:18">
      <c r="A112" s="4">
        <v>100045</v>
      </c>
      <c r="B112" s="1">
        <v>45478</v>
      </c>
      <c r="C112" s="1">
        <v>45296</v>
      </c>
      <c r="D112" t="s">
        <v>96</v>
      </c>
      <c r="E112" t="s">
        <v>97</v>
      </c>
      <c r="F112">
        <v>4</v>
      </c>
      <c r="G112">
        <v>1944</v>
      </c>
      <c r="H112">
        <v>0</v>
      </c>
      <c r="I112" t="s">
        <v>29</v>
      </c>
      <c r="J112" t="s">
        <v>16</v>
      </c>
      <c r="K112" s="6">
        <f t="shared" si="4"/>
        <v>7776</v>
      </c>
      <c r="L112" s="6">
        <f t="shared" si="5"/>
        <v>7776</v>
      </c>
      <c r="M112" s="6">
        <f>_xlfn.XLOOKUP(E112, Products!A:A, Products!E:E)</f>
        <v>229</v>
      </c>
      <c r="N112" s="6">
        <f t="shared" si="6"/>
        <v>916</v>
      </c>
      <c r="O112" s="8">
        <f t="shared" si="7"/>
        <v>6860</v>
      </c>
      <c r="Q112" s="8"/>
      <c r="R112" s="8"/>
    </row>
    <row r="113" spans="1:18">
      <c r="A113" s="4">
        <v>100075</v>
      </c>
      <c r="B113" s="1">
        <v>45473</v>
      </c>
      <c r="C113" s="1">
        <v>45301</v>
      </c>
      <c r="D113" t="s">
        <v>66</v>
      </c>
      <c r="E113" t="s">
        <v>139</v>
      </c>
      <c r="F113">
        <v>4</v>
      </c>
      <c r="G113">
        <v>1953</v>
      </c>
      <c r="H113">
        <v>10</v>
      </c>
      <c r="I113" t="s">
        <v>32</v>
      </c>
      <c r="J113" t="s">
        <v>22</v>
      </c>
      <c r="K113" s="6">
        <f t="shared" si="4"/>
        <v>7812</v>
      </c>
      <c r="L113" s="6">
        <f t="shared" si="5"/>
        <v>-70308</v>
      </c>
      <c r="M113" s="6">
        <f>_xlfn.XLOOKUP(E113, Products!A:A, Products!E:E)</f>
        <v>280</v>
      </c>
      <c r="N113" s="6">
        <f t="shared" si="6"/>
        <v>1120</v>
      </c>
      <c r="O113" s="8">
        <f t="shared" si="7"/>
        <v>-71428</v>
      </c>
      <c r="Q113" s="8"/>
      <c r="R113" s="8"/>
    </row>
    <row r="114" spans="1:18">
      <c r="A114" s="4">
        <v>100624</v>
      </c>
      <c r="B114" s="1">
        <v>45473</v>
      </c>
      <c r="C114" s="1">
        <v>45302</v>
      </c>
      <c r="D114" t="s">
        <v>377</v>
      </c>
      <c r="E114" t="s">
        <v>95</v>
      </c>
      <c r="F114">
        <v>4</v>
      </c>
      <c r="G114">
        <v>1594</v>
      </c>
      <c r="H114">
        <v>5</v>
      </c>
      <c r="I114" t="s">
        <v>19</v>
      </c>
      <c r="J114" t="s">
        <v>22</v>
      </c>
      <c r="K114" s="6">
        <f t="shared" si="4"/>
        <v>6376</v>
      </c>
      <c r="L114" s="6">
        <f t="shared" si="5"/>
        <v>-25504</v>
      </c>
      <c r="M114" s="6">
        <f>_xlfn.XLOOKUP(E114, Products!A:A, Products!E:E)</f>
        <v>113</v>
      </c>
      <c r="N114" s="6">
        <f t="shared" si="6"/>
        <v>452</v>
      </c>
      <c r="O114" s="8">
        <f t="shared" si="7"/>
        <v>-25956</v>
      </c>
      <c r="Q114" s="8"/>
      <c r="R114" s="8"/>
    </row>
    <row r="115" spans="1:18">
      <c r="A115" s="4">
        <v>100535</v>
      </c>
      <c r="B115" s="1">
        <v>45471</v>
      </c>
      <c r="C115" s="1">
        <v>45294</v>
      </c>
      <c r="D115" t="s">
        <v>230</v>
      </c>
      <c r="E115" t="s">
        <v>204</v>
      </c>
      <c r="F115">
        <v>4</v>
      </c>
      <c r="G115">
        <v>1165</v>
      </c>
      <c r="H115">
        <v>15</v>
      </c>
      <c r="I115" t="s">
        <v>19</v>
      </c>
      <c r="J115" t="s">
        <v>16</v>
      </c>
      <c r="K115" s="6">
        <f t="shared" si="4"/>
        <v>4660</v>
      </c>
      <c r="L115" s="6">
        <f t="shared" si="5"/>
        <v>-65240</v>
      </c>
      <c r="M115" s="6">
        <f>_xlfn.XLOOKUP(E115, Products!A:A, Products!E:E)</f>
        <v>229</v>
      </c>
      <c r="N115" s="6">
        <f t="shared" si="6"/>
        <v>916</v>
      </c>
      <c r="O115" s="8">
        <f t="shared" si="7"/>
        <v>-66156</v>
      </c>
      <c r="Q115" s="8"/>
      <c r="R115" s="8"/>
    </row>
    <row r="116" spans="1:18">
      <c r="A116" s="4">
        <v>100194</v>
      </c>
      <c r="B116" s="1">
        <v>45469</v>
      </c>
      <c r="C116" s="1">
        <v>45301</v>
      </c>
      <c r="D116" t="s">
        <v>241</v>
      </c>
      <c r="E116" t="s">
        <v>242</v>
      </c>
      <c r="F116">
        <v>4</v>
      </c>
      <c r="G116">
        <v>702</v>
      </c>
      <c r="H116">
        <v>15</v>
      </c>
      <c r="I116" t="s">
        <v>12</v>
      </c>
      <c r="J116" t="s">
        <v>13</v>
      </c>
      <c r="K116" s="6">
        <f t="shared" si="4"/>
        <v>2808</v>
      </c>
      <c r="L116" s="6">
        <f t="shared" si="5"/>
        <v>-39312</v>
      </c>
      <c r="M116" s="6">
        <f>_xlfn.XLOOKUP(E116, Products!A:A, Products!E:E)</f>
        <v>140</v>
      </c>
      <c r="N116" s="6">
        <f t="shared" si="6"/>
        <v>560</v>
      </c>
      <c r="O116" s="8">
        <f t="shared" si="7"/>
        <v>-39872</v>
      </c>
      <c r="Q116" s="8"/>
      <c r="R116" s="8"/>
    </row>
    <row r="117" spans="1:18">
      <c r="A117" s="4">
        <v>100454</v>
      </c>
      <c r="B117" s="1">
        <v>45466</v>
      </c>
      <c r="C117" s="1">
        <v>45299</v>
      </c>
      <c r="D117" t="s">
        <v>299</v>
      </c>
      <c r="E117" t="s">
        <v>302</v>
      </c>
      <c r="F117">
        <v>4</v>
      </c>
      <c r="G117">
        <v>1938</v>
      </c>
      <c r="H117">
        <v>10</v>
      </c>
      <c r="I117" t="s">
        <v>29</v>
      </c>
      <c r="J117" t="s">
        <v>13</v>
      </c>
      <c r="K117" s="6">
        <f t="shared" si="4"/>
        <v>7752</v>
      </c>
      <c r="L117" s="6">
        <f t="shared" si="5"/>
        <v>-69768</v>
      </c>
      <c r="M117" s="6">
        <f>_xlfn.XLOOKUP(E117, Products!A:A, Products!E:E)</f>
        <v>175</v>
      </c>
      <c r="N117" s="6">
        <f t="shared" si="6"/>
        <v>700</v>
      </c>
      <c r="O117" s="8">
        <f t="shared" si="7"/>
        <v>-70468</v>
      </c>
      <c r="Q117" s="8"/>
      <c r="R117" s="8"/>
    </row>
    <row r="118" spans="1:18">
      <c r="A118" s="4">
        <v>100484</v>
      </c>
      <c r="B118" s="1">
        <v>45466</v>
      </c>
      <c r="C118" s="1">
        <v>45294</v>
      </c>
      <c r="D118" t="s">
        <v>355</v>
      </c>
      <c r="E118" t="s">
        <v>204</v>
      </c>
      <c r="F118">
        <v>4</v>
      </c>
      <c r="G118">
        <v>1184</v>
      </c>
      <c r="H118">
        <v>15</v>
      </c>
      <c r="I118" t="s">
        <v>29</v>
      </c>
      <c r="J118" t="s">
        <v>16</v>
      </c>
      <c r="K118" s="6">
        <f t="shared" si="4"/>
        <v>4736</v>
      </c>
      <c r="L118" s="6">
        <f t="shared" si="5"/>
        <v>-66304</v>
      </c>
      <c r="M118" s="6">
        <f>_xlfn.XLOOKUP(E118, Products!A:A, Products!E:E)</f>
        <v>229</v>
      </c>
      <c r="N118" s="6">
        <f t="shared" si="6"/>
        <v>916</v>
      </c>
      <c r="O118" s="8">
        <f t="shared" si="7"/>
        <v>-67220</v>
      </c>
      <c r="Q118" s="8"/>
      <c r="R118" s="8"/>
    </row>
    <row r="119" spans="1:18">
      <c r="A119" s="4">
        <v>100374</v>
      </c>
      <c r="B119" s="1">
        <v>45464</v>
      </c>
      <c r="C119" s="1">
        <v>45301</v>
      </c>
      <c r="D119" t="s">
        <v>327</v>
      </c>
      <c r="E119" t="s">
        <v>28</v>
      </c>
      <c r="F119">
        <v>4</v>
      </c>
      <c r="G119">
        <v>573</v>
      </c>
      <c r="H119">
        <v>5</v>
      </c>
      <c r="I119" t="s">
        <v>19</v>
      </c>
      <c r="J119" t="s">
        <v>22</v>
      </c>
      <c r="K119" s="6">
        <f t="shared" si="4"/>
        <v>2292</v>
      </c>
      <c r="L119" s="6">
        <f t="shared" si="5"/>
        <v>-9168</v>
      </c>
      <c r="M119" s="6">
        <f>_xlfn.XLOOKUP(E119, Products!A:A, Products!E:E)</f>
        <v>160</v>
      </c>
      <c r="N119" s="6">
        <f t="shared" si="6"/>
        <v>640</v>
      </c>
      <c r="O119" s="8">
        <f t="shared" si="7"/>
        <v>-9808</v>
      </c>
      <c r="Q119" s="8"/>
      <c r="R119" s="8"/>
    </row>
    <row r="120" spans="1:18">
      <c r="A120" s="4">
        <v>100574</v>
      </c>
      <c r="B120" s="1">
        <v>45464</v>
      </c>
      <c r="C120" s="1">
        <v>45302</v>
      </c>
      <c r="D120" t="s">
        <v>287</v>
      </c>
      <c r="E120" t="s">
        <v>176</v>
      </c>
      <c r="F120">
        <v>4</v>
      </c>
      <c r="G120">
        <v>1425</v>
      </c>
      <c r="H120">
        <v>0</v>
      </c>
      <c r="I120" t="s">
        <v>32</v>
      </c>
      <c r="J120" t="s">
        <v>13</v>
      </c>
      <c r="K120" s="6">
        <f t="shared" si="4"/>
        <v>5700</v>
      </c>
      <c r="L120" s="6">
        <f t="shared" si="5"/>
        <v>5700</v>
      </c>
      <c r="M120" s="6">
        <f>_xlfn.XLOOKUP(E120, Products!A:A, Products!E:E)</f>
        <v>61</v>
      </c>
      <c r="N120" s="6">
        <f t="shared" si="6"/>
        <v>244</v>
      </c>
      <c r="O120" s="8">
        <f t="shared" si="7"/>
        <v>5456</v>
      </c>
      <c r="Q120" s="8"/>
      <c r="R120" s="8"/>
    </row>
    <row r="121" spans="1:18">
      <c r="A121" s="4">
        <v>100806</v>
      </c>
      <c r="B121" s="1">
        <v>45462</v>
      </c>
      <c r="C121" s="1">
        <v>45300</v>
      </c>
      <c r="D121" t="s">
        <v>309</v>
      </c>
      <c r="E121" t="s">
        <v>24</v>
      </c>
      <c r="F121">
        <v>4</v>
      </c>
      <c r="G121">
        <v>402</v>
      </c>
      <c r="H121">
        <v>15</v>
      </c>
      <c r="I121" t="s">
        <v>19</v>
      </c>
      <c r="J121" t="s">
        <v>26</v>
      </c>
      <c r="K121" s="6">
        <f t="shared" si="4"/>
        <v>1608</v>
      </c>
      <c r="L121" s="6">
        <f t="shared" si="5"/>
        <v>-22512</v>
      </c>
      <c r="M121" s="6">
        <f>_xlfn.XLOOKUP(E121, Products!A:A, Products!E:E)</f>
        <v>105</v>
      </c>
      <c r="N121" s="6">
        <f t="shared" si="6"/>
        <v>420</v>
      </c>
      <c r="O121" s="8">
        <f t="shared" si="7"/>
        <v>-22932</v>
      </c>
      <c r="Q121" s="8"/>
      <c r="R121" s="8"/>
    </row>
    <row r="122" spans="1:18">
      <c r="A122" s="4">
        <v>100934</v>
      </c>
      <c r="B122" s="1">
        <v>45460</v>
      </c>
      <c r="C122" s="1">
        <v>45296</v>
      </c>
      <c r="D122" t="s">
        <v>184</v>
      </c>
      <c r="E122" t="s">
        <v>18</v>
      </c>
      <c r="F122">
        <v>4</v>
      </c>
      <c r="G122">
        <v>991</v>
      </c>
      <c r="H122">
        <v>0</v>
      </c>
      <c r="I122" t="s">
        <v>32</v>
      </c>
      <c r="J122" t="s">
        <v>13</v>
      </c>
      <c r="K122" s="6">
        <f t="shared" si="4"/>
        <v>3964</v>
      </c>
      <c r="L122" s="6">
        <f t="shared" si="5"/>
        <v>3964</v>
      </c>
      <c r="M122" s="6">
        <f>_xlfn.XLOOKUP(E122, Products!A:A, Products!E:E)</f>
        <v>222</v>
      </c>
      <c r="N122" s="6">
        <f t="shared" si="6"/>
        <v>888</v>
      </c>
      <c r="O122" s="8">
        <f t="shared" si="7"/>
        <v>3076</v>
      </c>
      <c r="Q122" s="8"/>
      <c r="R122" s="8"/>
    </row>
    <row r="123" spans="1:18">
      <c r="A123" s="4">
        <v>100871</v>
      </c>
      <c r="B123" s="1">
        <v>45456</v>
      </c>
      <c r="C123" s="1">
        <v>45294</v>
      </c>
      <c r="D123" t="s">
        <v>222</v>
      </c>
      <c r="E123" t="s">
        <v>118</v>
      </c>
      <c r="F123">
        <v>4</v>
      </c>
      <c r="G123">
        <v>517</v>
      </c>
      <c r="H123">
        <v>5</v>
      </c>
      <c r="I123" t="s">
        <v>19</v>
      </c>
      <c r="J123" t="s">
        <v>26</v>
      </c>
      <c r="K123" s="6">
        <f t="shared" si="4"/>
        <v>2068</v>
      </c>
      <c r="L123" s="6">
        <f t="shared" si="5"/>
        <v>-8272</v>
      </c>
      <c r="M123" s="6">
        <f>_xlfn.XLOOKUP(E123, Products!A:A, Products!E:E)</f>
        <v>115</v>
      </c>
      <c r="N123" s="6">
        <f t="shared" si="6"/>
        <v>460</v>
      </c>
      <c r="O123" s="8">
        <f t="shared" si="7"/>
        <v>-8732</v>
      </c>
      <c r="Q123" s="8"/>
      <c r="R123" s="8"/>
    </row>
    <row r="124" spans="1:18">
      <c r="A124" s="4">
        <v>100263</v>
      </c>
      <c r="B124" s="1">
        <v>45455</v>
      </c>
      <c r="C124" s="1">
        <v>45298</v>
      </c>
      <c r="D124" t="s">
        <v>277</v>
      </c>
      <c r="E124" t="s">
        <v>144</v>
      </c>
      <c r="F124">
        <v>4</v>
      </c>
      <c r="G124">
        <v>444</v>
      </c>
      <c r="H124">
        <v>15</v>
      </c>
      <c r="I124" t="s">
        <v>12</v>
      </c>
      <c r="J124" t="s">
        <v>13</v>
      </c>
      <c r="K124" s="6">
        <f t="shared" si="4"/>
        <v>1776</v>
      </c>
      <c r="L124" s="6">
        <f t="shared" si="5"/>
        <v>-24864</v>
      </c>
      <c r="M124" s="6">
        <f>_xlfn.XLOOKUP(E124, Products!A:A, Products!E:E)</f>
        <v>247</v>
      </c>
      <c r="N124" s="6">
        <f t="shared" si="6"/>
        <v>988</v>
      </c>
      <c r="O124" s="8">
        <f t="shared" si="7"/>
        <v>-25852</v>
      </c>
      <c r="Q124" s="8"/>
      <c r="R124" s="8"/>
    </row>
    <row r="125" spans="1:18">
      <c r="A125" s="4">
        <v>100113</v>
      </c>
      <c r="B125" s="1">
        <v>45454</v>
      </c>
      <c r="C125" s="1">
        <v>45294</v>
      </c>
      <c r="D125" t="s">
        <v>33</v>
      </c>
      <c r="E125" t="s">
        <v>181</v>
      </c>
      <c r="F125">
        <v>4</v>
      </c>
      <c r="G125">
        <v>476</v>
      </c>
      <c r="H125">
        <v>0</v>
      </c>
      <c r="I125" t="s">
        <v>32</v>
      </c>
      <c r="J125" t="s">
        <v>26</v>
      </c>
      <c r="K125" s="6">
        <f t="shared" si="4"/>
        <v>1904</v>
      </c>
      <c r="L125" s="6">
        <f t="shared" si="5"/>
        <v>1904</v>
      </c>
      <c r="M125" s="6">
        <f>_xlfn.XLOOKUP(E125, Products!A:A, Products!E:E)</f>
        <v>72</v>
      </c>
      <c r="N125" s="6">
        <f t="shared" si="6"/>
        <v>288</v>
      </c>
      <c r="O125" s="8">
        <f t="shared" si="7"/>
        <v>1616</v>
      </c>
      <c r="Q125" s="8"/>
      <c r="R125" s="8"/>
    </row>
    <row r="126" spans="1:18">
      <c r="A126" s="4">
        <v>100657</v>
      </c>
      <c r="B126" s="1">
        <v>45452</v>
      </c>
      <c r="C126" s="1">
        <v>45296</v>
      </c>
      <c r="D126" t="s">
        <v>233</v>
      </c>
      <c r="E126" t="s">
        <v>55</v>
      </c>
      <c r="F126">
        <v>4</v>
      </c>
      <c r="G126">
        <v>1596</v>
      </c>
      <c r="H126">
        <v>0</v>
      </c>
      <c r="I126" t="s">
        <v>19</v>
      </c>
      <c r="J126" t="s">
        <v>16</v>
      </c>
      <c r="K126" s="6">
        <f t="shared" si="4"/>
        <v>6384</v>
      </c>
      <c r="L126" s="6">
        <f t="shared" si="5"/>
        <v>6384</v>
      </c>
      <c r="M126" s="6">
        <f>_xlfn.XLOOKUP(E126, Products!A:A, Products!E:E)</f>
        <v>141</v>
      </c>
      <c r="N126" s="6">
        <f t="shared" si="6"/>
        <v>564</v>
      </c>
      <c r="O126" s="8">
        <f t="shared" si="7"/>
        <v>5820</v>
      </c>
      <c r="Q126" s="8"/>
      <c r="R126" s="8"/>
    </row>
    <row r="127" spans="1:18">
      <c r="A127" s="4">
        <v>100697</v>
      </c>
      <c r="B127" s="1">
        <v>45451</v>
      </c>
      <c r="C127" s="1">
        <v>45294</v>
      </c>
      <c r="D127" t="s">
        <v>47</v>
      </c>
      <c r="E127" t="s">
        <v>195</v>
      </c>
      <c r="F127">
        <v>4</v>
      </c>
      <c r="G127">
        <v>1820</v>
      </c>
      <c r="H127">
        <v>0</v>
      </c>
      <c r="I127" t="s">
        <v>29</v>
      </c>
      <c r="J127" t="s">
        <v>22</v>
      </c>
      <c r="K127" s="6">
        <f t="shared" si="4"/>
        <v>7280</v>
      </c>
      <c r="L127" s="6">
        <f t="shared" si="5"/>
        <v>7280</v>
      </c>
      <c r="M127" s="6">
        <f>_xlfn.XLOOKUP(E127, Products!A:A, Products!E:E)</f>
        <v>261</v>
      </c>
      <c r="N127" s="6">
        <f t="shared" si="6"/>
        <v>1044</v>
      </c>
      <c r="O127" s="8">
        <f t="shared" si="7"/>
        <v>6236</v>
      </c>
      <c r="Q127" s="8"/>
      <c r="R127" s="8"/>
    </row>
    <row r="128" spans="1:18">
      <c r="A128" s="4">
        <v>100339</v>
      </c>
      <c r="B128" s="1">
        <v>45450</v>
      </c>
      <c r="C128" s="1">
        <v>45302</v>
      </c>
      <c r="D128" t="s">
        <v>233</v>
      </c>
      <c r="E128" t="s">
        <v>120</v>
      </c>
      <c r="F128">
        <v>4</v>
      </c>
      <c r="G128">
        <v>1605</v>
      </c>
      <c r="H128">
        <v>10</v>
      </c>
      <c r="I128" t="s">
        <v>29</v>
      </c>
      <c r="J128" t="s">
        <v>16</v>
      </c>
      <c r="K128" s="6">
        <f t="shared" si="4"/>
        <v>6420</v>
      </c>
      <c r="L128" s="6">
        <f t="shared" si="5"/>
        <v>-57780</v>
      </c>
      <c r="M128" s="6">
        <f>_xlfn.XLOOKUP(E128, Products!A:A, Products!E:E)</f>
        <v>52</v>
      </c>
      <c r="N128" s="6">
        <f t="shared" si="6"/>
        <v>208</v>
      </c>
      <c r="O128" s="8">
        <f t="shared" si="7"/>
        <v>-57988</v>
      </c>
      <c r="Q128" s="8"/>
      <c r="R128" s="8"/>
    </row>
    <row r="129" spans="1:18">
      <c r="A129" s="4">
        <v>100808</v>
      </c>
      <c r="B129" s="1">
        <v>45450</v>
      </c>
      <c r="C129" s="1">
        <v>45302</v>
      </c>
      <c r="D129" t="s">
        <v>309</v>
      </c>
      <c r="E129" t="s">
        <v>144</v>
      </c>
      <c r="F129">
        <v>4</v>
      </c>
      <c r="G129">
        <v>696</v>
      </c>
      <c r="H129">
        <v>10</v>
      </c>
      <c r="I129" t="s">
        <v>32</v>
      </c>
      <c r="J129" t="s">
        <v>16</v>
      </c>
      <c r="K129" s="6">
        <f t="shared" si="4"/>
        <v>2784</v>
      </c>
      <c r="L129" s="6">
        <f t="shared" si="5"/>
        <v>-25056</v>
      </c>
      <c r="M129" s="6">
        <f>_xlfn.XLOOKUP(E129, Products!A:A, Products!E:E)</f>
        <v>247</v>
      </c>
      <c r="N129" s="6">
        <f t="shared" si="6"/>
        <v>988</v>
      </c>
      <c r="O129" s="8">
        <f t="shared" si="7"/>
        <v>-26044</v>
      </c>
      <c r="Q129" s="8"/>
      <c r="R129" s="8"/>
    </row>
    <row r="130" spans="1:18">
      <c r="A130" s="4">
        <v>100288</v>
      </c>
      <c r="B130" s="1">
        <v>45447</v>
      </c>
      <c r="C130" s="1">
        <v>45295</v>
      </c>
      <c r="D130" t="s">
        <v>235</v>
      </c>
      <c r="E130" t="s">
        <v>221</v>
      </c>
      <c r="F130">
        <v>4</v>
      </c>
      <c r="G130">
        <v>1870</v>
      </c>
      <c r="H130">
        <v>10</v>
      </c>
      <c r="I130" t="s">
        <v>19</v>
      </c>
      <c r="J130" t="s">
        <v>26</v>
      </c>
      <c r="K130" s="6">
        <f t="shared" ref="K130:K193" si="8">F130*G130</f>
        <v>7480</v>
      </c>
      <c r="L130" s="6">
        <f t="shared" si="5"/>
        <v>-67320</v>
      </c>
      <c r="M130" s="6">
        <f>_xlfn.XLOOKUP(E130, Products!A:A, Products!E:E)</f>
        <v>208</v>
      </c>
      <c r="N130" s="6">
        <f t="shared" si="6"/>
        <v>832</v>
      </c>
      <c r="O130" s="8">
        <f t="shared" si="7"/>
        <v>-68152</v>
      </c>
      <c r="Q130" s="8"/>
      <c r="R130" s="8"/>
    </row>
    <row r="131" spans="1:18">
      <c r="A131" s="4">
        <v>100580</v>
      </c>
      <c r="B131" s="1">
        <v>45442</v>
      </c>
      <c r="C131" s="1">
        <v>45301</v>
      </c>
      <c r="D131" t="s">
        <v>79</v>
      </c>
      <c r="E131" t="s">
        <v>43</v>
      </c>
      <c r="F131">
        <v>4</v>
      </c>
      <c r="G131">
        <v>1743</v>
      </c>
      <c r="H131">
        <v>5</v>
      </c>
      <c r="I131" t="s">
        <v>12</v>
      </c>
      <c r="J131" t="s">
        <v>22</v>
      </c>
      <c r="K131" s="6">
        <f t="shared" si="8"/>
        <v>6972</v>
      </c>
      <c r="L131" s="6">
        <f t="shared" ref="L131:L194" si="9">F131*G131*(1-H131)</f>
        <v>-27888</v>
      </c>
      <c r="M131" s="6">
        <f>_xlfn.XLOOKUP(E131, Products!A:A, Products!E:E)</f>
        <v>228</v>
      </c>
      <c r="N131" s="6">
        <f t="shared" ref="N131:N194" si="10">F131*M131</f>
        <v>912</v>
      </c>
      <c r="O131" s="8">
        <f t="shared" ref="O131:O194" si="11">L131-N131</f>
        <v>-28800</v>
      </c>
      <c r="Q131" s="8"/>
      <c r="R131" s="8"/>
    </row>
    <row r="132" spans="1:18">
      <c r="A132" s="4">
        <v>100409</v>
      </c>
      <c r="B132" s="1">
        <v>45442</v>
      </c>
      <c r="C132" s="1">
        <v>45300</v>
      </c>
      <c r="D132" t="s">
        <v>339</v>
      </c>
      <c r="E132" t="s">
        <v>152</v>
      </c>
      <c r="F132">
        <v>4</v>
      </c>
      <c r="G132">
        <v>1709</v>
      </c>
      <c r="H132">
        <v>10</v>
      </c>
      <c r="I132" t="s">
        <v>12</v>
      </c>
      <c r="J132" t="s">
        <v>13</v>
      </c>
      <c r="K132" s="6">
        <f t="shared" si="8"/>
        <v>6836</v>
      </c>
      <c r="L132" s="6">
        <f t="shared" si="9"/>
        <v>-61524</v>
      </c>
      <c r="M132" s="6">
        <f>_xlfn.XLOOKUP(E132, Products!A:A, Products!E:E)</f>
        <v>272</v>
      </c>
      <c r="N132" s="6">
        <f t="shared" si="10"/>
        <v>1088</v>
      </c>
      <c r="O132" s="8">
        <f t="shared" si="11"/>
        <v>-62612</v>
      </c>
      <c r="Q132" s="8"/>
      <c r="R132" s="8"/>
    </row>
    <row r="133" spans="1:18">
      <c r="A133" s="4">
        <v>100759</v>
      </c>
      <c r="B133" s="1">
        <v>45441</v>
      </c>
      <c r="C133" s="1">
        <v>45300</v>
      </c>
      <c r="D133" t="s">
        <v>246</v>
      </c>
      <c r="E133" t="s">
        <v>48</v>
      </c>
      <c r="F133">
        <v>4</v>
      </c>
      <c r="G133">
        <v>775</v>
      </c>
      <c r="H133">
        <v>15</v>
      </c>
      <c r="I133" t="s">
        <v>19</v>
      </c>
      <c r="J133" t="s">
        <v>16</v>
      </c>
      <c r="K133" s="6">
        <f t="shared" si="8"/>
        <v>3100</v>
      </c>
      <c r="L133" s="6">
        <f t="shared" si="9"/>
        <v>-43400</v>
      </c>
      <c r="M133" s="6">
        <f>_xlfn.XLOOKUP(E133, Products!A:A, Products!E:E)</f>
        <v>179</v>
      </c>
      <c r="N133" s="6">
        <f t="shared" si="10"/>
        <v>716</v>
      </c>
      <c r="O133" s="8">
        <f t="shared" si="11"/>
        <v>-44116</v>
      </c>
      <c r="Q133" s="8"/>
      <c r="R133" s="8"/>
    </row>
    <row r="134" spans="1:18">
      <c r="A134" s="4">
        <v>100812</v>
      </c>
      <c r="B134" s="1">
        <v>45441</v>
      </c>
      <c r="C134" s="1">
        <v>45297</v>
      </c>
      <c r="D134" t="s">
        <v>380</v>
      </c>
      <c r="E134" t="s">
        <v>180</v>
      </c>
      <c r="F134">
        <v>4</v>
      </c>
      <c r="G134">
        <v>962</v>
      </c>
      <c r="H134">
        <v>5</v>
      </c>
      <c r="I134" t="s">
        <v>32</v>
      </c>
      <c r="J134" t="s">
        <v>26</v>
      </c>
      <c r="K134" s="6">
        <f t="shared" si="8"/>
        <v>3848</v>
      </c>
      <c r="L134" s="6">
        <f t="shared" si="9"/>
        <v>-15392</v>
      </c>
      <c r="M134" s="6">
        <f>_xlfn.XLOOKUP(E134, Products!A:A, Products!E:E)</f>
        <v>81</v>
      </c>
      <c r="N134" s="6">
        <f t="shared" si="10"/>
        <v>324</v>
      </c>
      <c r="O134" s="8">
        <f t="shared" si="11"/>
        <v>-15716</v>
      </c>
      <c r="Q134" s="8"/>
      <c r="R134" s="8"/>
    </row>
    <row r="135" spans="1:18">
      <c r="A135" s="4">
        <v>100694</v>
      </c>
      <c r="B135" s="1">
        <v>45440</v>
      </c>
      <c r="C135" s="1">
        <v>45295</v>
      </c>
      <c r="D135" t="s">
        <v>92</v>
      </c>
      <c r="E135" t="s">
        <v>265</v>
      </c>
      <c r="F135">
        <v>4</v>
      </c>
      <c r="G135">
        <v>1151</v>
      </c>
      <c r="H135">
        <v>10</v>
      </c>
      <c r="I135" t="s">
        <v>29</v>
      </c>
      <c r="J135" t="s">
        <v>13</v>
      </c>
      <c r="K135" s="6">
        <f t="shared" si="8"/>
        <v>4604</v>
      </c>
      <c r="L135" s="6">
        <f t="shared" si="9"/>
        <v>-41436</v>
      </c>
      <c r="M135" s="6">
        <f>_xlfn.XLOOKUP(E135, Products!A:A, Products!E:E)</f>
        <v>218</v>
      </c>
      <c r="N135" s="6">
        <f t="shared" si="10"/>
        <v>872</v>
      </c>
      <c r="O135" s="8">
        <f t="shared" si="11"/>
        <v>-42308</v>
      </c>
      <c r="Q135" s="8"/>
      <c r="R135" s="8"/>
    </row>
    <row r="136" spans="1:18">
      <c r="A136" s="4">
        <v>100794</v>
      </c>
      <c r="B136" s="1">
        <v>45440</v>
      </c>
      <c r="C136" s="1">
        <v>45301</v>
      </c>
      <c r="D136" t="s">
        <v>382</v>
      </c>
      <c r="E136" t="s">
        <v>138</v>
      </c>
      <c r="F136">
        <v>4</v>
      </c>
      <c r="G136">
        <v>1883</v>
      </c>
      <c r="H136">
        <v>0</v>
      </c>
      <c r="I136" t="s">
        <v>12</v>
      </c>
      <c r="J136" t="s">
        <v>13</v>
      </c>
      <c r="K136" s="6">
        <f t="shared" si="8"/>
        <v>7532</v>
      </c>
      <c r="L136" s="6">
        <f t="shared" si="9"/>
        <v>7532</v>
      </c>
      <c r="M136" s="6">
        <f>_xlfn.XLOOKUP(E136, Products!A:A, Products!E:E)</f>
        <v>186</v>
      </c>
      <c r="N136" s="6">
        <f t="shared" si="10"/>
        <v>744</v>
      </c>
      <c r="O136" s="8">
        <f t="shared" si="11"/>
        <v>6788</v>
      </c>
      <c r="Q136" s="8"/>
      <c r="R136" s="8"/>
    </row>
    <row r="137" spans="1:18">
      <c r="A137" s="4">
        <v>100668</v>
      </c>
      <c r="B137" s="1">
        <v>45436</v>
      </c>
      <c r="C137" s="1">
        <v>45301</v>
      </c>
      <c r="D137" t="s">
        <v>388</v>
      </c>
      <c r="E137" t="s">
        <v>63</v>
      </c>
      <c r="F137">
        <v>4</v>
      </c>
      <c r="G137">
        <v>636</v>
      </c>
      <c r="H137">
        <v>0</v>
      </c>
      <c r="I137" t="s">
        <v>12</v>
      </c>
      <c r="J137" t="s">
        <v>26</v>
      </c>
      <c r="K137" s="6">
        <f t="shared" si="8"/>
        <v>2544</v>
      </c>
      <c r="L137" s="6">
        <f t="shared" si="9"/>
        <v>2544</v>
      </c>
      <c r="M137" s="6">
        <f>_xlfn.XLOOKUP(E137, Products!A:A, Products!E:E)</f>
        <v>294</v>
      </c>
      <c r="N137" s="6">
        <f t="shared" si="10"/>
        <v>1176</v>
      </c>
      <c r="O137" s="8">
        <f t="shared" si="11"/>
        <v>1368</v>
      </c>
      <c r="Q137" s="8"/>
      <c r="R137" s="8"/>
    </row>
    <row r="138" spans="1:18">
      <c r="A138" s="4">
        <v>100918</v>
      </c>
      <c r="B138" s="1">
        <v>45435</v>
      </c>
      <c r="C138" s="1">
        <v>45300</v>
      </c>
      <c r="D138" t="s">
        <v>297</v>
      </c>
      <c r="E138" t="s">
        <v>201</v>
      </c>
      <c r="F138">
        <v>4</v>
      </c>
      <c r="G138">
        <v>751</v>
      </c>
      <c r="H138">
        <v>0</v>
      </c>
      <c r="I138" t="s">
        <v>32</v>
      </c>
      <c r="J138" t="s">
        <v>26</v>
      </c>
      <c r="K138" s="6">
        <f t="shared" si="8"/>
        <v>3004</v>
      </c>
      <c r="L138" s="6">
        <f t="shared" si="9"/>
        <v>3004</v>
      </c>
      <c r="M138" s="6">
        <f>_xlfn.XLOOKUP(E138, Products!A:A, Products!E:E)</f>
        <v>123</v>
      </c>
      <c r="N138" s="6">
        <f t="shared" si="10"/>
        <v>492</v>
      </c>
      <c r="O138" s="8">
        <f t="shared" si="11"/>
        <v>2512</v>
      </c>
      <c r="Q138" s="8"/>
      <c r="R138" s="8"/>
    </row>
    <row r="139" spans="1:18">
      <c r="A139" s="4">
        <v>100245</v>
      </c>
      <c r="B139" s="1">
        <v>45435</v>
      </c>
      <c r="C139" s="1">
        <v>45298</v>
      </c>
      <c r="D139" t="s">
        <v>177</v>
      </c>
      <c r="E139" t="s">
        <v>242</v>
      </c>
      <c r="F139">
        <v>4</v>
      </c>
      <c r="G139">
        <v>655</v>
      </c>
      <c r="H139">
        <v>5</v>
      </c>
      <c r="I139" t="s">
        <v>29</v>
      </c>
      <c r="J139" t="s">
        <v>26</v>
      </c>
      <c r="K139" s="6">
        <f t="shared" si="8"/>
        <v>2620</v>
      </c>
      <c r="L139" s="6">
        <f t="shared" si="9"/>
        <v>-10480</v>
      </c>
      <c r="M139" s="6">
        <f>_xlfn.XLOOKUP(E139, Products!A:A, Products!E:E)</f>
        <v>140</v>
      </c>
      <c r="N139" s="6">
        <f t="shared" si="10"/>
        <v>560</v>
      </c>
      <c r="O139" s="8">
        <f t="shared" si="11"/>
        <v>-11040</v>
      </c>
      <c r="Q139" s="8"/>
      <c r="R139" s="8"/>
    </row>
    <row r="140" spans="1:18">
      <c r="A140" s="4">
        <v>100348</v>
      </c>
      <c r="B140" s="1">
        <v>45432</v>
      </c>
      <c r="C140" s="1">
        <v>45295</v>
      </c>
      <c r="D140" t="s">
        <v>318</v>
      </c>
      <c r="E140" t="s">
        <v>197</v>
      </c>
      <c r="F140">
        <v>4</v>
      </c>
      <c r="G140">
        <v>1704</v>
      </c>
      <c r="H140">
        <v>5</v>
      </c>
      <c r="I140" t="s">
        <v>12</v>
      </c>
      <c r="J140" t="s">
        <v>13</v>
      </c>
      <c r="K140" s="6">
        <f t="shared" si="8"/>
        <v>6816</v>
      </c>
      <c r="L140" s="6">
        <f t="shared" si="9"/>
        <v>-27264</v>
      </c>
      <c r="M140" s="6">
        <f>_xlfn.XLOOKUP(E140, Products!A:A, Products!E:E)</f>
        <v>236</v>
      </c>
      <c r="N140" s="6">
        <f t="shared" si="10"/>
        <v>944</v>
      </c>
      <c r="O140" s="8">
        <f t="shared" si="11"/>
        <v>-28208</v>
      </c>
      <c r="Q140" s="8"/>
      <c r="R140" s="8"/>
    </row>
    <row r="141" spans="1:18">
      <c r="A141" s="4">
        <v>100033</v>
      </c>
      <c r="B141" s="1">
        <v>45432</v>
      </c>
      <c r="C141" s="1">
        <v>45299</v>
      </c>
      <c r="D141" t="s">
        <v>74</v>
      </c>
      <c r="E141" t="s">
        <v>75</v>
      </c>
      <c r="F141">
        <v>4</v>
      </c>
      <c r="G141">
        <v>1507</v>
      </c>
      <c r="H141">
        <v>5</v>
      </c>
      <c r="I141" t="s">
        <v>12</v>
      </c>
      <c r="J141" t="s">
        <v>13</v>
      </c>
      <c r="K141" s="6">
        <f t="shared" si="8"/>
        <v>6028</v>
      </c>
      <c r="L141" s="6">
        <f t="shared" si="9"/>
        <v>-24112</v>
      </c>
      <c r="M141" s="6">
        <f>_xlfn.XLOOKUP(E141, Products!A:A, Products!E:E)</f>
        <v>70</v>
      </c>
      <c r="N141" s="6">
        <f t="shared" si="10"/>
        <v>280</v>
      </c>
      <c r="O141" s="8">
        <f t="shared" si="11"/>
        <v>-24392</v>
      </c>
      <c r="Q141" s="8"/>
      <c r="R141" s="8"/>
    </row>
    <row r="142" spans="1:18">
      <c r="A142" s="4">
        <v>100502</v>
      </c>
      <c r="B142" s="1">
        <v>45430</v>
      </c>
      <c r="C142" s="1">
        <v>45300</v>
      </c>
      <c r="D142" t="s">
        <v>196</v>
      </c>
      <c r="E142" t="s">
        <v>91</v>
      </c>
      <c r="F142">
        <v>4</v>
      </c>
      <c r="G142">
        <v>1317</v>
      </c>
      <c r="H142">
        <v>5</v>
      </c>
      <c r="I142" t="s">
        <v>19</v>
      </c>
      <c r="J142" t="s">
        <v>22</v>
      </c>
      <c r="K142" s="6">
        <f t="shared" si="8"/>
        <v>5268</v>
      </c>
      <c r="L142" s="6">
        <f t="shared" si="9"/>
        <v>-21072</v>
      </c>
      <c r="M142" s="6">
        <f>_xlfn.XLOOKUP(E142, Products!A:A, Products!E:E)</f>
        <v>243</v>
      </c>
      <c r="N142" s="6">
        <f t="shared" si="10"/>
        <v>972</v>
      </c>
      <c r="O142" s="8">
        <f t="shared" si="11"/>
        <v>-22044</v>
      </c>
      <c r="Q142" s="8"/>
      <c r="R142" s="8"/>
    </row>
    <row r="143" spans="1:18">
      <c r="A143" s="4">
        <v>100182</v>
      </c>
      <c r="B143" s="1">
        <v>45429</v>
      </c>
      <c r="C143" s="1">
        <v>45297</v>
      </c>
      <c r="D143" t="s">
        <v>102</v>
      </c>
      <c r="E143" t="s">
        <v>68</v>
      </c>
      <c r="F143">
        <v>4</v>
      </c>
      <c r="G143">
        <v>847</v>
      </c>
      <c r="H143">
        <v>5</v>
      </c>
      <c r="I143" t="s">
        <v>12</v>
      </c>
      <c r="J143" t="s">
        <v>22</v>
      </c>
      <c r="K143" s="6">
        <f t="shared" si="8"/>
        <v>3388</v>
      </c>
      <c r="L143" s="6">
        <f t="shared" si="9"/>
        <v>-13552</v>
      </c>
      <c r="M143" s="6">
        <f>_xlfn.XLOOKUP(E143, Products!A:A, Products!E:E)</f>
        <v>295</v>
      </c>
      <c r="N143" s="6">
        <f t="shared" si="10"/>
        <v>1180</v>
      </c>
      <c r="O143" s="8">
        <f t="shared" si="11"/>
        <v>-14732</v>
      </c>
      <c r="Q143" s="8"/>
      <c r="R143" s="8"/>
    </row>
    <row r="144" spans="1:18">
      <c r="A144" s="4">
        <v>100163</v>
      </c>
      <c r="B144" s="1">
        <v>45428</v>
      </c>
      <c r="C144" s="1">
        <v>45294</v>
      </c>
      <c r="D144" t="s">
        <v>222</v>
      </c>
      <c r="E144" t="s">
        <v>61</v>
      </c>
      <c r="F144">
        <v>4</v>
      </c>
      <c r="G144">
        <v>1535</v>
      </c>
      <c r="H144">
        <v>5</v>
      </c>
      <c r="I144" t="s">
        <v>32</v>
      </c>
      <c r="J144" t="s">
        <v>26</v>
      </c>
      <c r="K144" s="6">
        <f t="shared" si="8"/>
        <v>6140</v>
      </c>
      <c r="L144" s="6">
        <f t="shared" si="9"/>
        <v>-24560</v>
      </c>
      <c r="M144" s="6">
        <f>_xlfn.XLOOKUP(E144, Products!A:A, Products!E:E)</f>
        <v>65</v>
      </c>
      <c r="N144" s="6">
        <f t="shared" si="10"/>
        <v>260</v>
      </c>
      <c r="O144" s="8">
        <f t="shared" si="11"/>
        <v>-24820</v>
      </c>
      <c r="Q144" s="8"/>
      <c r="R144" s="8"/>
    </row>
    <row r="145" spans="1:18">
      <c r="A145" s="4">
        <v>100094</v>
      </c>
      <c r="B145" s="1">
        <v>45426</v>
      </c>
      <c r="C145" s="1">
        <v>45301</v>
      </c>
      <c r="D145" t="s">
        <v>159</v>
      </c>
      <c r="E145" t="s">
        <v>28</v>
      </c>
      <c r="F145">
        <v>4</v>
      </c>
      <c r="G145">
        <v>1261</v>
      </c>
      <c r="H145">
        <v>15</v>
      </c>
      <c r="I145" t="s">
        <v>32</v>
      </c>
      <c r="J145" t="s">
        <v>26</v>
      </c>
      <c r="K145" s="6">
        <f t="shared" si="8"/>
        <v>5044</v>
      </c>
      <c r="L145" s="6">
        <f t="shared" si="9"/>
        <v>-70616</v>
      </c>
      <c r="M145" s="6">
        <f>_xlfn.XLOOKUP(E145, Products!A:A, Products!E:E)</f>
        <v>160</v>
      </c>
      <c r="N145" s="6">
        <f t="shared" si="10"/>
        <v>640</v>
      </c>
      <c r="O145" s="8">
        <f t="shared" si="11"/>
        <v>-71256</v>
      </c>
      <c r="Q145" s="8"/>
      <c r="R145" s="8"/>
    </row>
    <row r="146" spans="1:18">
      <c r="A146" s="4">
        <v>100158</v>
      </c>
      <c r="B146" s="1">
        <v>45426</v>
      </c>
      <c r="C146" s="1">
        <v>45302</v>
      </c>
      <c r="D146" t="s">
        <v>78</v>
      </c>
      <c r="E146" t="s">
        <v>129</v>
      </c>
      <c r="F146">
        <v>4</v>
      </c>
      <c r="G146">
        <v>643</v>
      </c>
      <c r="H146">
        <v>15</v>
      </c>
      <c r="I146" t="s">
        <v>19</v>
      </c>
      <c r="J146" t="s">
        <v>13</v>
      </c>
      <c r="K146" s="6">
        <f t="shared" si="8"/>
        <v>2572</v>
      </c>
      <c r="L146" s="6">
        <f t="shared" si="9"/>
        <v>-36008</v>
      </c>
      <c r="M146" s="6">
        <f>_xlfn.XLOOKUP(E146, Products!A:A, Products!E:E)</f>
        <v>171</v>
      </c>
      <c r="N146" s="6">
        <f t="shared" si="10"/>
        <v>684</v>
      </c>
      <c r="O146" s="8">
        <f t="shared" si="11"/>
        <v>-36692</v>
      </c>
      <c r="Q146" s="8"/>
      <c r="R146" s="8"/>
    </row>
    <row r="147" spans="1:18">
      <c r="A147" s="4">
        <v>100430</v>
      </c>
      <c r="B147" s="1">
        <v>45425</v>
      </c>
      <c r="C147" s="1">
        <v>45302</v>
      </c>
      <c r="D147" t="s">
        <v>345</v>
      </c>
      <c r="E147" t="s">
        <v>204</v>
      </c>
      <c r="F147">
        <v>4</v>
      </c>
      <c r="G147">
        <v>1540</v>
      </c>
      <c r="H147">
        <v>5</v>
      </c>
      <c r="I147" t="s">
        <v>32</v>
      </c>
      <c r="J147" t="s">
        <v>16</v>
      </c>
      <c r="K147" s="6">
        <f t="shared" si="8"/>
        <v>6160</v>
      </c>
      <c r="L147" s="6">
        <f t="shared" si="9"/>
        <v>-24640</v>
      </c>
      <c r="M147" s="6">
        <f>_xlfn.XLOOKUP(E147, Products!A:A, Products!E:E)</f>
        <v>229</v>
      </c>
      <c r="N147" s="6">
        <f t="shared" si="10"/>
        <v>916</v>
      </c>
      <c r="O147" s="8">
        <f t="shared" si="11"/>
        <v>-25556</v>
      </c>
      <c r="Q147" s="8"/>
      <c r="R147" s="8"/>
    </row>
    <row r="148" spans="1:18">
      <c r="A148" s="4">
        <v>100400</v>
      </c>
      <c r="B148" s="1">
        <v>45425</v>
      </c>
      <c r="C148" s="1">
        <v>45294</v>
      </c>
      <c r="D148" t="s">
        <v>337</v>
      </c>
      <c r="E148" t="s">
        <v>55</v>
      </c>
      <c r="F148">
        <v>4</v>
      </c>
      <c r="G148">
        <v>1713</v>
      </c>
      <c r="H148">
        <v>0</v>
      </c>
      <c r="I148" t="s">
        <v>19</v>
      </c>
      <c r="J148" t="s">
        <v>22</v>
      </c>
      <c r="K148" s="6">
        <f t="shared" si="8"/>
        <v>6852</v>
      </c>
      <c r="L148" s="6">
        <f t="shared" si="9"/>
        <v>6852</v>
      </c>
      <c r="M148" s="6">
        <f>_xlfn.XLOOKUP(E148, Products!A:A, Products!E:E)</f>
        <v>141</v>
      </c>
      <c r="N148" s="6">
        <f t="shared" si="10"/>
        <v>564</v>
      </c>
      <c r="O148" s="8">
        <f t="shared" si="11"/>
        <v>6288</v>
      </c>
      <c r="Q148" s="8"/>
      <c r="R148" s="8"/>
    </row>
    <row r="149" spans="1:18">
      <c r="A149" s="4">
        <v>100043</v>
      </c>
      <c r="B149" s="1">
        <v>45422</v>
      </c>
      <c r="C149" s="1">
        <v>45297</v>
      </c>
      <c r="D149" t="s">
        <v>92</v>
      </c>
      <c r="E149" t="s">
        <v>93</v>
      </c>
      <c r="F149">
        <v>4</v>
      </c>
      <c r="G149">
        <v>1214</v>
      </c>
      <c r="H149">
        <v>10</v>
      </c>
      <c r="I149" t="s">
        <v>12</v>
      </c>
      <c r="J149" t="s">
        <v>16</v>
      </c>
      <c r="K149" s="6">
        <f t="shared" si="8"/>
        <v>4856</v>
      </c>
      <c r="L149" s="6">
        <f t="shared" si="9"/>
        <v>-43704</v>
      </c>
      <c r="M149" s="6">
        <f>_xlfn.XLOOKUP(E149, Products!A:A, Products!E:E)</f>
        <v>222</v>
      </c>
      <c r="N149" s="6">
        <f t="shared" si="10"/>
        <v>888</v>
      </c>
      <c r="O149" s="8">
        <f t="shared" si="11"/>
        <v>-44592</v>
      </c>
      <c r="Q149" s="8"/>
      <c r="R149" s="8"/>
    </row>
    <row r="150" spans="1:18">
      <c r="A150" s="4">
        <v>100487</v>
      </c>
      <c r="B150" s="1">
        <v>45418</v>
      </c>
      <c r="C150" s="1">
        <v>45296</v>
      </c>
      <c r="D150" t="s">
        <v>169</v>
      </c>
      <c r="E150" t="s">
        <v>180</v>
      </c>
      <c r="F150">
        <v>4</v>
      </c>
      <c r="G150">
        <v>1832</v>
      </c>
      <c r="H150">
        <v>15</v>
      </c>
      <c r="I150" t="s">
        <v>19</v>
      </c>
      <c r="J150" t="s">
        <v>13</v>
      </c>
      <c r="K150" s="6">
        <f t="shared" si="8"/>
        <v>7328</v>
      </c>
      <c r="L150" s="6">
        <f t="shared" si="9"/>
        <v>-102592</v>
      </c>
      <c r="M150" s="6">
        <f>_xlfn.XLOOKUP(E150, Products!A:A, Products!E:E)</f>
        <v>81</v>
      </c>
      <c r="N150" s="6">
        <f t="shared" si="10"/>
        <v>324</v>
      </c>
      <c r="O150" s="8">
        <f t="shared" si="11"/>
        <v>-102916</v>
      </c>
      <c r="Q150" s="8"/>
      <c r="R150" s="8"/>
    </row>
    <row r="151" spans="1:18">
      <c r="A151" s="4">
        <v>100514</v>
      </c>
      <c r="B151" s="1">
        <v>45416</v>
      </c>
      <c r="C151" s="1">
        <v>45301</v>
      </c>
      <c r="D151" t="s">
        <v>358</v>
      </c>
      <c r="E151" t="s">
        <v>236</v>
      </c>
      <c r="F151">
        <v>4</v>
      </c>
      <c r="G151">
        <v>1532</v>
      </c>
      <c r="H151">
        <v>10</v>
      </c>
      <c r="I151" t="s">
        <v>32</v>
      </c>
      <c r="J151" t="s">
        <v>22</v>
      </c>
      <c r="K151" s="6">
        <f t="shared" si="8"/>
        <v>6128</v>
      </c>
      <c r="L151" s="6">
        <f t="shared" si="9"/>
        <v>-55152</v>
      </c>
      <c r="M151" s="6">
        <f>_xlfn.XLOOKUP(E151, Products!A:A, Products!E:E)</f>
        <v>120</v>
      </c>
      <c r="N151" s="6">
        <f t="shared" si="10"/>
        <v>480</v>
      </c>
      <c r="O151" s="8">
        <f t="shared" si="11"/>
        <v>-55632</v>
      </c>
      <c r="Q151" s="8"/>
      <c r="R151" s="8"/>
    </row>
    <row r="152" spans="1:18">
      <c r="A152" s="4">
        <v>100434</v>
      </c>
      <c r="B152" s="1">
        <v>45416</v>
      </c>
      <c r="C152" s="1">
        <v>45295</v>
      </c>
      <c r="D152" t="s">
        <v>347</v>
      </c>
      <c r="E152" t="s">
        <v>15</v>
      </c>
      <c r="F152">
        <v>4</v>
      </c>
      <c r="G152">
        <v>265</v>
      </c>
      <c r="H152">
        <v>5</v>
      </c>
      <c r="I152" t="s">
        <v>29</v>
      </c>
      <c r="J152" t="s">
        <v>22</v>
      </c>
      <c r="K152" s="6">
        <f t="shared" si="8"/>
        <v>1060</v>
      </c>
      <c r="L152" s="6">
        <f t="shared" si="9"/>
        <v>-4240</v>
      </c>
      <c r="M152" s="6">
        <f>_xlfn.XLOOKUP(E152, Products!A:A, Products!E:E)</f>
        <v>242</v>
      </c>
      <c r="N152" s="6">
        <f t="shared" si="10"/>
        <v>968</v>
      </c>
      <c r="O152" s="8">
        <f t="shared" si="11"/>
        <v>-5208</v>
      </c>
      <c r="Q152" s="8"/>
      <c r="R152" s="8"/>
    </row>
    <row r="153" spans="1:18">
      <c r="A153" s="4">
        <v>100090</v>
      </c>
      <c r="B153" s="1">
        <v>45415</v>
      </c>
      <c r="C153" s="1">
        <v>45297</v>
      </c>
      <c r="D153" t="s">
        <v>153</v>
      </c>
      <c r="E153" t="s">
        <v>137</v>
      </c>
      <c r="F153">
        <v>4</v>
      </c>
      <c r="G153">
        <v>1674</v>
      </c>
      <c r="H153">
        <v>15</v>
      </c>
      <c r="I153" t="s">
        <v>32</v>
      </c>
      <c r="J153" t="s">
        <v>16</v>
      </c>
      <c r="K153" s="6">
        <f t="shared" si="8"/>
        <v>6696</v>
      </c>
      <c r="L153" s="6">
        <f t="shared" si="9"/>
        <v>-93744</v>
      </c>
      <c r="M153" s="6">
        <f>_xlfn.XLOOKUP(E153, Products!A:A, Products!E:E)</f>
        <v>239</v>
      </c>
      <c r="N153" s="6">
        <f t="shared" si="10"/>
        <v>956</v>
      </c>
      <c r="O153" s="8">
        <f t="shared" si="11"/>
        <v>-94700</v>
      </c>
      <c r="Q153" s="8"/>
      <c r="R153" s="8"/>
    </row>
    <row r="154" spans="1:18">
      <c r="A154" s="4">
        <v>100214</v>
      </c>
      <c r="B154" s="1">
        <v>45414</v>
      </c>
      <c r="C154" s="1">
        <v>45301</v>
      </c>
      <c r="D154" t="s">
        <v>254</v>
      </c>
      <c r="E154" t="s">
        <v>31</v>
      </c>
      <c r="F154">
        <v>4</v>
      </c>
      <c r="G154">
        <v>1474</v>
      </c>
      <c r="H154">
        <v>5</v>
      </c>
      <c r="I154" t="s">
        <v>32</v>
      </c>
      <c r="J154" t="s">
        <v>22</v>
      </c>
      <c r="K154" s="6">
        <f t="shared" si="8"/>
        <v>5896</v>
      </c>
      <c r="L154" s="6">
        <f t="shared" si="9"/>
        <v>-23584</v>
      </c>
      <c r="M154" s="6">
        <f>_xlfn.XLOOKUP(E154, Products!A:A, Products!E:E)</f>
        <v>187</v>
      </c>
      <c r="N154" s="6">
        <f t="shared" si="10"/>
        <v>748</v>
      </c>
      <c r="O154" s="8">
        <f t="shared" si="11"/>
        <v>-24332</v>
      </c>
      <c r="Q154" s="8"/>
      <c r="R154" s="8"/>
    </row>
    <row r="155" spans="1:18">
      <c r="A155" s="4">
        <v>100897</v>
      </c>
      <c r="B155" s="1">
        <v>45413</v>
      </c>
      <c r="C155" s="1">
        <v>45295</v>
      </c>
      <c r="D155" t="s">
        <v>27</v>
      </c>
      <c r="E155" t="s">
        <v>178</v>
      </c>
      <c r="F155">
        <v>4</v>
      </c>
      <c r="G155">
        <v>1623</v>
      </c>
      <c r="H155">
        <v>0</v>
      </c>
      <c r="I155" t="s">
        <v>19</v>
      </c>
      <c r="J155" t="s">
        <v>26</v>
      </c>
      <c r="K155" s="6">
        <f t="shared" si="8"/>
        <v>6492</v>
      </c>
      <c r="L155" s="6">
        <f t="shared" si="9"/>
        <v>6492</v>
      </c>
      <c r="M155" s="6">
        <f>_xlfn.XLOOKUP(E155, Products!A:A, Products!E:E)</f>
        <v>121</v>
      </c>
      <c r="N155" s="6">
        <f t="shared" si="10"/>
        <v>484</v>
      </c>
      <c r="O155" s="8">
        <f t="shared" si="11"/>
        <v>6008</v>
      </c>
      <c r="Q155" s="8"/>
      <c r="R155" s="8"/>
    </row>
    <row r="156" spans="1:18">
      <c r="A156" s="4">
        <v>100399</v>
      </c>
      <c r="B156" s="1">
        <v>45412</v>
      </c>
      <c r="C156" s="1">
        <v>45294</v>
      </c>
      <c r="D156" t="s">
        <v>127</v>
      </c>
      <c r="E156" t="s">
        <v>165</v>
      </c>
      <c r="F156">
        <v>4</v>
      </c>
      <c r="G156">
        <v>1807</v>
      </c>
      <c r="H156">
        <v>15</v>
      </c>
      <c r="I156" t="s">
        <v>29</v>
      </c>
      <c r="J156" t="s">
        <v>22</v>
      </c>
      <c r="K156" s="6">
        <f t="shared" si="8"/>
        <v>7228</v>
      </c>
      <c r="L156" s="6">
        <f t="shared" si="9"/>
        <v>-101192</v>
      </c>
      <c r="M156" s="6">
        <f>_xlfn.XLOOKUP(E156, Products!A:A, Products!E:E)</f>
        <v>241</v>
      </c>
      <c r="N156" s="6">
        <f t="shared" si="10"/>
        <v>964</v>
      </c>
      <c r="O156" s="8">
        <f t="shared" si="11"/>
        <v>-102156</v>
      </c>
      <c r="Q156" s="8"/>
      <c r="R156" s="8"/>
    </row>
    <row r="157" spans="1:18">
      <c r="A157" s="4">
        <v>100078</v>
      </c>
      <c r="B157" s="1">
        <v>45411</v>
      </c>
      <c r="C157" s="1">
        <v>45294</v>
      </c>
      <c r="D157" t="s">
        <v>143</v>
      </c>
      <c r="E157" t="s">
        <v>95</v>
      </c>
      <c r="F157">
        <v>4</v>
      </c>
      <c r="G157">
        <v>1666</v>
      </c>
      <c r="H157">
        <v>0</v>
      </c>
      <c r="I157" t="s">
        <v>12</v>
      </c>
      <c r="J157" t="s">
        <v>26</v>
      </c>
      <c r="K157" s="6">
        <f t="shared" si="8"/>
        <v>6664</v>
      </c>
      <c r="L157" s="6">
        <f t="shared" si="9"/>
        <v>6664</v>
      </c>
      <c r="M157" s="6">
        <f>_xlfn.XLOOKUP(E157, Products!A:A, Products!E:E)</f>
        <v>113</v>
      </c>
      <c r="N157" s="6">
        <f t="shared" si="10"/>
        <v>452</v>
      </c>
      <c r="O157" s="8">
        <f t="shared" si="11"/>
        <v>6212</v>
      </c>
      <c r="Q157" s="8"/>
      <c r="R157" s="8"/>
    </row>
    <row r="158" spans="1:18">
      <c r="A158" s="4">
        <v>100371</v>
      </c>
      <c r="B158" s="1">
        <v>45409</v>
      </c>
      <c r="C158" s="1">
        <v>45300</v>
      </c>
      <c r="D158" t="s">
        <v>322</v>
      </c>
      <c r="E158" t="s">
        <v>31</v>
      </c>
      <c r="F158">
        <v>4</v>
      </c>
      <c r="G158">
        <v>1335</v>
      </c>
      <c r="H158">
        <v>10</v>
      </c>
      <c r="I158" t="s">
        <v>32</v>
      </c>
      <c r="J158" t="s">
        <v>13</v>
      </c>
      <c r="K158" s="6">
        <f t="shared" si="8"/>
        <v>5340</v>
      </c>
      <c r="L158" s="6">
        <f t="shared" si="9"/>
        <v>-48060</v>
      </c>
      <c r="M158" s="6">
        <f>_xlfn.XLOOKUP(E158, Products!A:A, Products!E:E)</f>
        <v>187</v>
      </c>
      <c r="N158" s="6">
        <f t="shared" si="10"/>
        <v>748</v>
      </c>
      <c r="O158" s="8">
        <f t="shared" si="11"/>
        <v>-48808</v>
      </c>
      <c r="Q158" s="8"/>
      <c r="R158" s="8"/>
    </row>
    <row r="159" spans="1:18">
      <c r="A159" s="4">
        <v>100831</v>
      </c>
      <c r="B159" s="1">
        <v>45409</v>
      </c>
      <c r="C159" s="1">
        <v>45294</v>
      </c>
      <c r="D159" t="s">
        <v>60</v>
      </c>
      <c r="E159" t="s">
        <v>85</v>
      </c>
      <c r="F159">
        <v>4</v>
      </c>
      <c r="G159">
        <v>242</v>
      </c>
      <c r="H159">
        <v>10</v>
      </c>
      <c r="I159" t="s">
        <v>29</v>
      </c>
      <c r="J159" t="s">
        <v>26</v>
      </c>
      <c r="K159" s="6">
        <f t="shared" si="8"/>
        <v>968</v>
      </c>
      <c r="L159" s="6">
        <f t="shared" si="9"/>
        <v>-8712</v>
      </c>
      <c r="M159" s="6">
        <f>_xlfn.XLOOKUP(E159, Products!A:A, Products!E:E)</f>
        <v>148</v>
      </c>
      <c r="N159" s="6">
        <f t="shared" si="10"/>
        <v>592</v>
      </c>
      <c r="O159" s="8">
        <f t="shared" si="11"/>
        <v>-9304</v>
      </c>
      <c r="Q159" s="8"/>
      <c r="R159" s="8"/>
    </row>
    <row r="160" spans="1:18">
      <c r="A160" s="4">
        <v>100064</v>
      </c>
      <c r="B160" s="1">
        <v>45408</v>
      </c>
      <c r="C160" s="1">
        <v>45296</v>
      </c>
      <c r="D160" t="s">
        <v>122</v>
      </c>
      <c r="E160" t="s">
        <v>123</v>
      </c>
      <c r="F160">
        <v>4</v>
      </c>
      <c r="G160">
        <v>868</v>
      </c>
      <c r="H160">
        <v>0</v>
      </c>
      <c r="I160" t="s">
        <v>19</v>
      </c>
      <c r="J160" t="s">
        <v>22</v>
      </c>
      <c r="K160" s="6">
        <f t="shared" si="8"/>
        <v>3472</v>
      </c>
      <c r="L160" s="6">
        <f t="shared" si="9"/>
        <v>3472</v>
      </c>
      <c r="M160" s="6">
        <f>_xlfn.XLOOKUP(E160, Products!A:A, Products!E:E)</f>
        <v>154</v>
      </c>
      <c r="N160" s="6">
        <f t="shared" si="10"/>
        <v>616</v>
      </c>
      <c r="O160" s="8">
        <f t="shared" si="11"/>
        <v>2856</v>
      </c>
      <c r="Q160" s="8"/>
      <c r="R160" s="8"/>
    </row>
    <row r="161" spans="1:18">
      <c r="A161" s="4">
        <v>100017</v>
      </c>
      <c r="B161" s="1">
        <v>45408</v>
      </c>
      <c r="C161" s="1">
        <v>45295</v>
      </c>
      <c r="D161" t="s">
        <v>49</v>
      </c>
      <c r="E161" t="s">
        <v>50</v>
      </c>
      <c r="F161">
        <v>4</v>
      </c>
      <c r="G161">
        <v>1618</v>
      </c>
      <c r="H161">
        <v>10</v>
      </c>
      <c r="I161" t="s">
        <v>19</v>
      </c>
      <c r="J161" t="s">
        <v>16</v>
      </c>
      <c r="K161" s="6">
        <f t="shared" si="8"/>
        <v>6472</v>
      </c>
      <c r="L161" s="6">
        <f t="shared" si="9"/>
        <v>-58248</v>
      </c>
      <c r="M161" s="6">
        <f>_xlfn.XLOOKUP(E161, Products!A:A, Products!E:E)</f>
        <v>218</v>
      </c>
      <c r="N161" s="6">
        <f t="shared" si="10"/>
        <v>872</v>
      </c>
      <c r="O161" s="8">
        <f t="shared" si="11"/>
        <v>-59120</v>
      </c>
      <c r="Q161" s="8"/>
      <c r="R161" s="8"/>
    </row>
    <row r="162" spans="1:18">
      <c r="A162" s="4">
        <v>100162</v>
      </c>
      <c r="B162" s="1">
        <v>45406</v>
      </c>
      <c r="C162" s="1">
        <v>45294</v>
      </c>
      <c r="D162" t="s">
        <v>192</v>
      </c>
      <c r="E162" t="s">
        <v>221</v>
      </c>
      <c r="F162">
        <v>4</v>
      </c>
      <c r="G162">
        <v>1846</v>
      </c>
      <c r="H162">
        <v>15</v>
      </c>
      <c r="I162" t="s">
        <v>32</v>
      </c>
      <c r="J162" t="s">
        <v>16</v>
      </c>
      <c r="K162" s="6">
        <f t="shared" si="8"/>
        <v>7384</v>
      </c>
      <c r="L162" s="6">
        <f t="shared" si="9"/>
        <v>-103376</v>
      </c>
      <c r="M162" s="6">
        <f>_xlfn.XLOOKUP(E162, Products!A:A, Products!E:E)</f>
        <v>208</v>
      </c>
      <c r="N162" s="6">
        <f t="shared" si="10"/>
        <v>832</v>
      </c>
      <c r="O162" s="8">
        <f t="shared" si="11"/>
        <v>-104208</v>
      </c>
      <c r="Q162" s="8"/>
      <c r="R162" s="8"/>
    </row>
    <row r="163" spans="1:18">
      <c r="A163" s="4">
        <v>100885</v>
      </c>
      <c r="B163" s="1">
        <v>45405</v>
      </c>
      <c r="C163" s="1">
        <v>45295</v>
      </c>
      <c r="D163" t="s">
        <v>35</v>
      </c>
      <c r="E163" t="s">
        <v>46</v>
      </c>
      <c r="F163">
        <v>4</v>
      </c>
      <c r="G163">
        <v>1047</v>
      </c>
      <c r="H163">
        <v>10</v>
      </c>
      <c r="I163" t="s">
        <v>12</v>
      </c>
      <c r="J163" t="s">
        <v>22</v>
      </c>
      <c r="K163" s="6">
        <f t="shared" si="8"/>
        <v>4188</v>
      </c>
      <c r="L163" s="6">
        <f t="shared" si="9"/>
        <v>-37692</v>
      </c>
      <c r="M163" s="6">
        <f>_xlfn.XLOOKUP(E163, Products!A:A, Products!E:E)</f>
        <v>191</v>
      </c>
      <c r="N163" s="6">
        <f t="shared" si="10"/>
        <v>764</v>
      </c>
      <c r="O163" s="8">
        <f t="shared" si="11"/>
        <v>-38456</v>
      </c>
      <c r="Q163" s="8"/>
      <c r="R163" s="8"/>
    </row>
    <row r="164" spans="1:18">
      <c r="A164" s="4">
        <v>100523</v>
      </c>
      <c r="B164" s="1">
        <v>45405</v>
      </c>
      <c r="C164" s="1">
        <v>45296</v>
      </c>
      <c r="D164" t="s">
        <v>364</v>
      </c>
      <c r="E164" t="s">
        <v>95</v>
      </c>
      <c r="F164">
        <v>4</v>
      </c>
      <c r="G164">
        <v>963</v>
      </c>
      <c r="H164">
        <v>5</v>
      </c>
      <c r="I164" t="s">
        <v>32</v>
      </c>
      <c r="J164" t="s">
        <v>16</v>
      </c>
      <c r="K164" s="6">
        <f t="shared" si="8"/>
        <v>3852</v>
      </c>
      <c r="L164" s="6">
        <f t="shared" si="9"/>
        <v>-15408</v>
      </c>
      <c r="M164" s="6">
        <f>_xlfn.XLOOKUP(E164, Products!A:A, Products!E:E)</f>
        <v>113</v>
      </c>
      <c r="N164" s="6">
        <f t="shared" si="10"/>
        <v>452</v>
      </c>
      <c r="O164" s="8">
        <f t="shared" si="11"/>
        <v>-15860</v>
      </c>
      <c r="Q164" s="8"/>
      <c r="R164" s="8"/>
    </row>
    <row r="165" spans="1:18">
      <c r="A165" s="4">
        <v>100959</v>
      </c>
      <c r="B165" s="1">
        <v>45402</v>
      </c>
      <c r="C165" s="1">
        <v>45298</v>
      </c>
      <c r="D165" t="s">
        <v>267</v>
      </c>
      <c r="E165" t="s">
        <v>183</v>
      </c>
      <c r="F165">
        <v>4</v>
      </c>
      <c r="G165">
        <v>1449</v>
      </c>
      <c r="H165">
        <v>10</v>
      </c>
      <c r="I165" t="s">
        <v>29</v>
      </c>
      <c r="J165" t="s">
        <v>22</v>
      </c>
      <c r="K165" s="6">
        <f t="shared" si="8"/>
        <v>5796</v>
      </c>
      <c r="L165" s="6">
        <f t="shared" si="9"/>
        <v>-52164</v>
      </c>
      <c r="M165" s="6">
        <f>_xlfn.XLOOKUP(E165, Products!A:A, Products!E:E)</f>
        <v>55</v>
      </c>
      <c r="N165" s="6">
        <f t="shared" si="10"/>
        <v>220</v>
      </c>
      <c r="O165" s="8">
        <f t="shared" si="11"/>
        <v>-52384</v>
      </c>
      <c r="Q165" s="8"/>
      <c r="R165" s="8"/>
    </row>
    <row r="166" spans="1:18">
      <c r="A166" s="4">
        <v>100293</v>
      </c>
      <c r="B166" s="1">
        <v>45402</v>
      </c>
      <c r="C166" s="1">
        <v>45301</v>
      </c>
      <c r="D166" t="s">
        <v>127</v>
      </c>
      <c r="E166" t="s">
        <v>77</v>
      </c>
      <c r="F166">
        <v>4</v>
      </c>
      <c r="G166">
        <v>348</v>
      </c>
      <c r="H166">
        <v>15</v>
      </c>
      <c r="I166" t="s">
        <v>12</v>
      </c>
      <c r="J166" t="s">
        <v>26</v>
      </c>
      <c r="K166" s="6">
        <f t="shared" si="8"/>
        <v>1392</v>
      </c>
      <c r="L166" s="6">
        <f t="shared" si="9"/>
        <v>-19488</v>
      </c>
      <c r="M166" s="6">
        <f>_xlfn.XLOOKUP(E166, Products!A:A, Products!E:E)</f>
        <v>94</v>
      </c>
      <c r="N166" s="6">
        <f t="shared" si="10"/>
        <v>376</v>
      </c>
      <c r="O166" s="8">
        <f t="shared" si="11"/>
        <v>-19864</v>
      </c>
      <c r="Q166" s="8"/>
      <c r="R166" s="8"/>
    </row>
    <row r="167" spans="1:18">
      <c r="A167" s="4">
        <v>100609</v>
      </c>
      <c r="B167" s="1">
        <v>45395</v>
      </c>
      <c r="C167" s="1">
        <v>45300</v>
      </c>
      <c r="D167" t="s">
        <v>76</v>
      </c>
      <c r="E167" t="s">
        <v>31</v>
      </c>
      <c r="F167">
        <v>4</v>
      </c>
      <c r="G167">
        <v>1198</v>
      </c>
      <c r="H167">
        <v>0</v>
      </c>
      <c r="I167" t="s">
        <v>32</v>
      </c>
      <c r="J167" t="s">
        <v>22</v>
      </c>
      <c r="K167" s="6">
        <f t="shared" si="8"/>
        <v>4792</v>
      </c>
      <c r="L167" s="6">
        <f t="shared" si="9"/>
        <v>4792</v>
      </c>
      <c r="M167" s="6">
        <f>_xlfn.XLOOKUP(E167, Products!A:A, Products!E:E)</f>
        <v>187</v>
      </c>
      <c r="N167" s="6">
        <f t="shared" si="10"/>
        <v>748</v>
      </c>
      <c r="O167" s="8">
        <f t="shared" si="11"/>
        <v>4044</v>
      </c>
      <c r="Q167" s="8"/>
      <c r="R167" s="8"/>
    </row>
    <row r="168" spans="1:18">
      <c r="A168" s="4">
        <v>100244</v>
      </c>
      <c r="B168" s="1">
        <v>45394</v>
      </c>
      <c r="C168" s="1">
        <v>45296</v>
      </c>
      <c r="D168" t="s">
        <v>157</v>
      </c>
      <c r="E168" t="s">
        <v>73</v>
      </c>
      <c r="F168">
        <v>4</v>
      </c>
      <c r="G168">
        <v>733</v>
      </c>
      <c r="H168">
        <v>0</v>
      </c>
      <c r="I168" t="s">
        <v>12</v>
      </c>
      <c r="J168" t="s">
        <v>16</v>
      </c>
      <c r="K168" s="6">
        <f t="shared" si="8"/>
        <v>2932</v>
      </c>
      <c r="L168" s="6">
        <f t="shared" si="9"/>
        <v>2932</v>
      </c>
      <c r="M168" s="6">
        <f>_xlfn.XLOOKUP(E168, Products!A:A, Products!E:E)</f>
        <v>243</v>
      </c>
      <c r="N168" s="6">
        <f t="shared" si="10"/>
        <v>972</v>
      </c>
      <c r="O168" s="8">
        <f t="shared" si="11"/>
        <v>1960</v>
      </c>
      <c r="Q168" s="8"/>
      <c r="R168" s="8"/>
    </row>
    <row r="169" spans="1:18">
      <c r="A169" s="4">
        <v>100471</v>
      </c>
      <c r="B169" s="1">
        <v>45389</v>
      </c>
      <c r="C169" s="1">
        <v>45294</v>
      </c>
      <c r="D169" t="s">
        <v>297</v>
      </c>
      <c r="E169" t="s">
        <v>69</v>
      </c>
      <c r="F169">
        <v>4</v>
      </c>
      <c r="G169">
        <v>1431</v>
      </c>
      <c r="H169">
        <v>15</v>
      </c>
      <c r="I169" t="s">
        <v>32</v>
      </c>
      <c r="J169" t="s">
        <v>22</v>
      </c>
      <c r="K169" s="6">
        <f t="shared" si="8"/>
        <v>5724</v>
      </c>
      <c r="L169" s="6">
        <f t="shared" si="9"/>
        <v>-80136</v>
      </c>
      <c r="M169" s="6">
        <f>_xlfn.XLOOKUP(E169, Products!A:A, Products!E:E)</f>
        <v>82</v>
      </c>
      <c r="N169" s="6">
        <f t="shared" si="10"/>
        <v>328</v>
      </c>
      <c r="O169" s="8">
        <f t="shared" si="11"/>
        <v>-80464</v>
      </c>
      <c r="Q169" s="8"/>
      <c r="R169" s="8"/>
    </row>
    <row r="170" spans="1:18">
      <c r="A170" s="4">
        <v>100608</v>
      </c>
      <c r="B170" s="1">
        <v>45384</v>
      </c>
      <c r="C170" s="1">
        <v>45299</v>
      </c>
      <c r="D170" t="s">
        <v>374</v>
      </c>
      <c r="E170" t="s">
        <v>134</v>
      </c>
      <c r="F170">
        <v>4</v>
      </c>
      <c r="G170">
        <v>1123</v>
      </c>
      <c r="H170">
        <v>0</v>
      </c>
      <c r="I170" t="s">
        <v>29</v>
      </c>
      <c r="J170" t="s">
        <v>26</v>
      </c>
      <c r="K170" s="6">
        <f t="shared" si="8"/>
        <v>4492</v>
      </c>
      <c r="L170" s="6">
        <f t="shared" si="9"/>
        <v>4492</v>
      </c>
      <c r="M170" s="6">
        <f>_xlfn.XLOOKUP(E170, Products!A:A, Products!E:E)</f>
        <v>179</v>
      </c>
      <c r="N170" s="6">
        <f t="shared" si="10"/>
        <v>716</v>
      </c>
      <c r="O170" s="8">
        <f t="shared" si="11"/>
        <v>3776</v>
      </c>
      <c r="Q170" s="8"/>
      <c r="R170" s="8"/>
    </row>
    <row r="171" spans="1:18">
      <c r="A171" s="4">
        <v>100215</v>
      </c>
      <c r="B171" s="1">
        <v>45384</v>
      </c>
      <c r="C171" s="1">
        <v>45299</v>
      </c>
      <c r="D171" t="s">
        <v>255</v>
      </c>
      <c r="E171" t="s">
        <v>31</v>
      </c>
      <c r="F171">
        <v>4</v>
      </c>
      <c r="G171">
        <v>375</v>
      </c>
      <c r="H171">
        <v>5</v>
      </c>
      <c r="I171" t="s">
        <v>29</v>
      </c>
      <c r="J171" t="s">
        <v>26</v>
      </c>
      <c r="K171" s="6">
        <f t="shared" si="8"/>
        <v>1500</v>
      </c>
      <c r="L171" s="6">
        <f t="shared" si="9"/>
        <v>-6000</v>
      </c>
      <c r="M171" s="6">
        <f>_xlfn.XLOOKUP(E171, Products!A:A, Products!E:E)</f>
        <v>187</v>
      </c>
      <c r="N171" s="6">
        <f t="shared" si="10"/>
        <v>748</v>
      </c>
      <c r="O171" s="8">
        <f t="shared" si="11"/>
        <v>-6748</v>
      </c>
      <c r="Q171" s="8"/>
      <c r="R171" s="8"/>
    </row>
    <row r="172" spans="1:18">
      <c r="A172" s="4">
        <v>100541</v>
      </c>
      <c r="B172" s="1">
        <v>45383</v>
      </c>
      <c r="C172" s="1">
        <v>45294</v>
      </c>
      <c r="D172" t="s">
        <v>291</v>
      </c>
      <c r="E172" t="s">
        <v>210</v>
      </c>
      <c r="F172">
        <v>4</v>
      </c>
      <c r="G172">
        <v>760</v>
      </c>
      <c r="H172">
        <v>15</v>
      </c>
      <c r="I172" t="s">
        <v>12</v>
      </c>
      <c r="J172" t="s">
        <v>16</v>
      </c>
      <c r="K172" s="6">
        <f t="shared" si="8"/>
        <v>3040</v>
      </c>
      <c r="L172" s="6">
        <f t="shared" si="9"/>
        <v>-42560</v>
      </c>
      <c r="M172" s="6">
        <f>_xlfn.XLOOKUP(E172, Products!A:A, Products!E:E)</f>
        <v>135</v>
      </c>
      <c r="N172" s="6">
        <f t="shared" si="10"/>
        <v>540</v>
      </c>
      <c r="O172" s="8">
        <f t="shared" si="11"/>
        <v>-43100</v>
      </c>
      <c r="Q172" s="8"/>
      <c r="R172" s="8"/>
    </row>
    <row r="173" spans="1:18">
      <c r="A173" s="4">
        <v>100497</v>
      </c>
      <c r="B173" s="1">
        <v>45381</v>
      </c>
      <c r="C173" s="1">
        <v>45294</v>
      </c>
      <c r="D173" t="s">
        <v>92</v>
      </c>
      <c r="E173" t="s">
        <v>110</v>
      </c>
      <c r="F173">
        <v>4</v>
      </c>
      <c r="G173">
        <v>1847</v>
      </c>
      <c r="H173">
        <v>5</v>
      </c>
      <c r="I173" t="s">
        <v>19</v>
      </c>
      <c r="J173" t="s">
        <v>16</v>
      </c>
      <c r="K173" s="6">
        <f t="shared" si="8"/>
        <v>7388</v>
      </c>
      <c r="L173" s="6">
        <f t="shared" si="9"/>
        <v>-29552</v>
      </c>
      <c r="M173" s="6">
        <f>_xlfn.XLOOKUP(E173, Products!A:A, Products!E:E)</f>
        <v>124</v>
      </c>
      <c r="N173" s="6">
        <f t="shared" si="10"/>
        <v>496</v>
      </c>
      <c r="O173" s="8">
        <f t="shared" si="11"/>
        <v>-30048</v>
      </c>
      <c r="Q173" s="8"/>
      <c r="R173" s="8"/>
    </row>
    <row r="174" spans="1:18">
      <c r="A174" s="4">
        <v>100250</v>
      </c>
      <c r="B174" s="1">
        <v>45377</v>
      </c>
      <c r="C174" s="1">
        <v>45297</v>
      </c>
      <c r="D174" t="s">
        <v>113</v>
      </c>
      <c r="E174" t="s">
        <v>57</v>
      </c>
      <c r="F174">
        <v>4</v>
      </c>
      <c r="G174">
        <v>1189</v>
      </c>
      <c r="H174">
        <v>15</v>
      </c>
      <c r="I174" t="s">
        <v>29</v>
      </c>
      <c r="J174" t="s">
        <v>13</v>
      </c>
      <c r="K174" s="6">
        <f t="shared" si="8"/>
        <v>4756</v>
      </c>
      <c r="L174" s="6">
        <f t="shared" si="9"/>
        <v>-66584</v>
      </c>
      <c r="M174" s="6">
        <f>_xlfn.XLOOKUP(E174, Products!A:A, Products!E:E)</f>
        <v>270</v>
      </c>
      <c r="N174" s="6">
        <f t="shared" si="10"/>
        <v>1080</v>
      </c>
      <c r="O174" s="8">
        <f t="shared" si="11"/>
        <v>-67664</v>
      </c>
      <c r="Q174" s="8"/>
      <c r="R174" s="8"/>
    </row>
    <row r="175" spans="1:18">
      <c r="A175" s="4">
        <v>100821</v>
      </c>
      <c r="B175" s="1">
        <v>45375</v>
      </c>
      <c r="C175" s="1">
        <v>45298</v>
      </c>
      <c r="D175" t="s">
        <v>244</v>
      </c>
      <c r="E175" t="s">
        <v>281</v>
      </c>
      <c r="F175">
        <v>4</v>
      </c>
      <c r="G175">
        <v>291</v>
      </c>
      <c r="H175">
        <v>15</v>
      </c>
      <c r="I175" t="s">
        <v>19</v>
      </c>
      <c r="J175" t="s">
        <v>26</v>
      </c>
      <c r="K175" s="6">
        <f t="shared" si="8"/>
        <v>1164</v>
      </c>
      <c r="L175" s="6">
        <f t="shared" si="9"/>
        <v>-16296</v>
      </c>
      <c r="M175" s="6">
        <f>_xlfn.XLOOKUP(E175, Products!A:A, Products!E:E)</f>
        <v>117</v>
      </c>
      <c r="N175" s="6">
        <f t="shared" si="10"/>
        <v>468</v>
      </c>
      <c r="O175" s="8">
        <f t="shared" si="11"/>
        <v>-16764</v>
      </c>
      <c r="Q175" s="8"/>
      <c r="R175" s="8"/>
    </row>
    <row r="176" spans="1:18">
      <c r="A176" s="4">
        <v>100669</v>
      </c>
      <c r="B176" s="1">
        <v>45374</v>
      </c>
      <c r="C176" s="1">
        <v>45301</v>
      </c>
      <c r="D176" t="s">
        <v>311</v>
      </c>
      <c r="E176" t="s">
        <v>325</v>
      </c>
      <c r="F176">
        <v>4</v>
      </c>
      <c r="G176">
        <v>1756</v>
      </c>
      <c r="H176">
        <v>5</v>
      </c>
      <c r="I176" t="s">
        <v>12</v>
      </c>
      <c r="J176" t="s">
        <v>16</v>
      </c>
      <c r="K176" s="6">
        <f t="shared" si="8"/>
        <v>7024</v>
      </c>
      <c r="L176" s="6">
        <f t="shared" si="9"/>
        <v>-28096</v>
      </c>
      <c r="M176" s="6">
        <f>_xlfn.XLOOKUP(E176, Products!A:A, Products!E:E)</f>
        <v>68</v>
      </c>
      <c r="N176" s="6">
        <f t="shared" si="10"/>
        <v>272</v>
      </c>
      <c r="O176" s="8">
        <f t="shared" si="11"/>
        <v>-28368</v>
      </c>
      <c r="Q176" s="8"/>
      <c r="R176" s="8"/>
    </row>
    <row r="177" spans="1:18">
      <c r="A177" s="4">
        <v>100699</v>
      </c>
      <c r="B177" s="1">
        <v>45372</v>
      </c>
      <c r="C177" s="1">
        <v>45296</v>
      </c>
      <c r="D177" t="s">
        <v>391</v>
      </c>
      <c r="E177" t="s">
        <v>75</v>
      </c>
      <c r="F177">
        <v>4</v>
      </c>
      <c r="G177">
        <v>859</v>
      </c>
      <c r="H177">
        <v>0</v>
      </c>
      <c r="I177" t="s">
        <v>12</v>
      </c>
      <c r="J177" t="s">
        <v>16</v>
      </c>
      <c r="K177" s="6">
        <f t="shared" si="8"/>
        <v>3436</v>
      </c>
      <c r="L177" s="6">
        <f t="shared" si="9"/>
        <v>3436</v>
      </c>
      <c r="M177" s="6">
        <f>_xlfn.XLOOKUP(E177, Products!A:A, Products!E:E)</f>
        <v>70</v>
      </c>
      <c r="N177" s="6">
        <f t="shared" si="10"/>
        <v>280</v>
      </c>
      <c r="O177" s="8">
        <f t="shared" si="11"/>
        <v>3156</v>
      </c>
      <c r="Q177" s="8"/>
      <c r="R177" s="8"/>
    </row>
    <row r="178" spans="1:18">
      <c r="A178" s="4">
        <v>100234</v>
      </c>
      <c r="B178" s="1">
        <v>45371</v>
      </c>
      <c r="C178" s="1">
        <v>45301</v>
      </c>
      <c r="D178" t="s">
        <v>264</v>
      </c>
      <c r="E178" t="s">
        <v>265</v>
      </c>
      <c r="F178">
        <v>4</v>
      </c>
      <c r="G178">
        <v>886</v>
      </c>
      <c r="H178">
        <v>5</v>
      </c>
      <c r="I178" t="s">
        <v>12</v>
      </c>
      <c r="J178" t="s">
        <v>16</v>
      </c>
      <c r="K178" s="6">
        <f t="shared" si="8"/>
        <v>3544</v>
      </c>
      <c r="L178" s="6">
        <f t="shared" si="9"/>
        <v>-14176</v>
      </c>
      <c r="M178" s="6">
        <f>_xlfn.XLOOKUP(E178, Products!A:A, Products!E:E)</f>
        <v>218</v>
      </c>
      <c r="N178" s="6">
        <f t="shared" si="10"/>
        <v>872</v>
      </c>
      <c r="O178" s="8">
        <f t="shared" si="11"/>
        <v>-15048</v>
      </c>
      <c r="Q178" s="8"/>
      <c r="R178" s="8"/>
    </row>
    <row r="179" spans="1:18">
      <c r="A179" s="4">
        <v>100291</v>
      </c>
      <c r="B179" s="1">
        <v>45370</v>
      </c>
      <c r="C179" s="1">
        <v>45295</v>
      </c>
      <c r="D179" t="s">
        <v>293</v>
      </c>
      <c r="E179" t="s">
        <v>21</v>
      </c>
      <c r="F179">
        <v>4</v>
      </c>
      <c r="G179">
        <v>692</v>
      </c>
      <c r="H179">
        <v>10</v>
      </c>
      <c r="I179" t="s">
        <v>29</v>
      </c>
      <c r="J179" t="s">
        <v>16</v>
      </c>
      <c r="K179" s="6">
        <f t="shared" si="8"/>
        <v>2768</v>
      </c>
      <c r="L179" s="6">
        <f t="shared" si="9"/>
        <v>-24912</v>
      </c>
      <c r="M179" s="6">
        <f>_xlfn.XLOOKUP(E179, Products!A:A, Products!E:E)</f>
        <v>279</v>
      </c>
      <c r="N179" s="6">
        <f t="shared" si="10"/>
        <v>1116</v>
      </c>
      <c r="O179" s="8">
        <f t="shared" si="11"/>
        <v>-26028</v>
      </c>
      <c r="Q179" s="8"/>
      <c r="R179" s="8"/>
    </row>
    <row r="180" spans="1:18">
      <c r="A180" s="4">
        <v>100297</v>
      </c>
      <c r="B180" s="1">
        <v>45370</v>
      </c>
      <c r="C180" s="1">
        <v>45296</v>
      </c>
      <c r="D180" t="s">
        <v>175</v>
      </c>
      <c r="E180" t="s">
        <v>209</v>
      </c>
      <c r="F180">
        <v>4</v>
      </c>
      <c r="G180">
        <v>1413</v>
      </c>
      <c r="H180">
        <v>0</v>
      </c>
      <c r="I180" t="s">
        <v>12</v>
      </c>
      <c r="J180" t="s">
        <v>22</v>
      </c>
      <c r="K180" s="6">
        <f t="shared" si="8"/>
        <v>5652</v>
      </c>
      <c r="L180" s="6">
        <f t="shared" si="9"/>
        <v>5652</v>
      </c>
      <c r="M180" s="6">
        <f>_xlfn.XLOOKUP(E180, Products!A:A, Products!E:E)</f>
        <v>53</v>
      </c>
      <c r="N180" s="6">
        <f t="shared" si="10"/>
        <v>212</v>
      </c>
      <c r="O180" s="8">
        <f t="shared" si="11"/>
        <v>5440</v>
      </c>
      <c r="Q180" s="8"/>
      <c r="R180" s="8"/>
    </row>
    <row r="181" spans="1:18">
      <c r="A181" s="4">
        <v>100418</v>
      </c>
      <c r="B181" s="1">
        <v>45369</v>
      </c>
      <c r="C181" s="1">
        <v>45297</v>
      </c>
      <c r="D181" t="s">
        <v>342</v>
      </c>
      <c r="E181" t="s">
        <v>195</v>
      </c>
      <c r="F181">
        <v>4</v>
      </c>
      <c r="G181">
        <v>1707</v>
      </c>
      <c r="H181">
        <v>15</v>
      </c>
      <c r="I181" t="s">
        <v>12</v>
      </c>
      <c r="J181" t="s">
        <v>16</v>
      </c>
      <c r="K181" s="6">
        <f t="shared" si="8"/>
        <v>6828</v>
      </c>
      <c r="L181" s="6">
        <f t="shared" si="9"/>
        <v>-95592</v>
      </c>
      <c r="M181" s="6">
        <f>_xlfn.XLOOKUP(E181, Products!A:A, Products!E:E)</f>
        <v>261</v>
      </c>
      <c r="N181" s="6">
        <f t="shared" si="10"/>
        <v>1044</v>
      </c>
      <c r="O181" s="8">
        <f t="shared" si="11"/>
        <v>-96636</v>
      </c>
      <c r="Q181" s="8"/>
      <c r="R181" s="8"/>
    </row>
    <row r="182" spans="1:18">
      <c r="A182" s="4">
        <v>100964</v>
      </c>
      <c r="B182" s="1">
        <v>45368</v>
      </c>
      <c r="C182" s="1">
        <v>45300</v>
      </c>
      <c r="D182" t="s">
        <v>192</v>
      </c>
      <c r="E182" t="s">
        <v>167</v>
      </c>
      <c r="F182">
        <v>4</v>
      </c>
      <c r="G182">
        <v>1533</v>
      </c>
      <c r="H182">
        <v>0</v>
      </c>
      <c r="I182" t="s">
        <v>29</v>
      </c>
      <c r="J182" t="s">
        <v>22</v>
      </c>
      <c r="K182" s="6">
        <f t="shared" si="8"/>
        <v>6132</v>
      </c>
      <c r="L182" s="6">
        <f t="shared" si="9"/>
        <v>6132</v>
      </c>
      <c r="M182" s="6">
        <f>_xlfn.XLOOKUP(E182, Products!A:A, Products!E:E)</f>
        <v>181</v>
      </c>
      <c r="N182" s="6">
        <f t="shared" si="10"/>
        <v>724</v>
      </c>
      <c r="O182" s="8">
        <f t="shared" si="11"/>
        <v>5408</v>
      </c>
      <c r="Q182" s="8"/>
      <c r="R182" s="8"/>
    </row>
    <row r="183" spans="1:18">
      <c r="A183" s="4">
        <v>100876</v>
      </c>
      <c r="B183" s="1">
        <v>45365</v>
      </c>
      <c r="C183" s="1">
        <v>45297</v>
      </c>
      <c r="D183" t="s">
        <v>127</v>
      </c>
      <c r="E183" t="s">
        <v>142</v>
      </c>
      <c r="F183">
        <v>4</v>
      </c>
      <c r="G183">
        <v>679</v>
      </c>
      <c r="H183">
        <v>0</v>
      </c>
      <c r="I183" t="s">
        <v>32</v>
      </c>
      <c r="J183" t="s">
        <v>13</v>
      </c>
      <c r="K183" s="6">
        <f t="shared" si="8"/>
        <v>2716</v>
      </c>
      <c r="L183" s="6">
        <f t="shared" si="9"/>
        <v>2716</v>
      </c>
      <c r="M183" s="6">
        <f>_xlfn.XLOOKUP(E183, Products!A:A, Products!E:E)</f>
        <v>276</v>
      </c>
      <c r="N183" s="6">
        <f t="shared" si="10"/>
        <v>1104</v>
      </c>
      <c r="O183" s="8">
        <f t="shared" si="11"/>
        <v>1612</v>
      </c>
      <c r="Q183" s="8"/>
      <c r="R183" s="8"/>
    </row>
    <row r="184" spans="1:18">
      <c r="A184" s="4">
        <v>100316</v>
      </c>
      <c r="B184" s="1">
        <v>45364</v>
      </c>
      <c r="C184" s="1">
        <v>45302</v>
      </c>
      <c r="D184" t="s">
        <v>90</v>
      </c>
      <c r="E184" t="s">
        <v>260</v>
      </c>
      <c r="F184">
        <v>4</v>
      </c>
      <c r="G184">
        <v>1629</v>
      </c>
      <c r="H184">
        <v>15</v>
      </c>
      <c r="I184" t="s">
        <v>12</v>
      </c>
      <c r="J184" t="s">
        <v>13</v>
      </c>
      <c r="K184" s="6">
        <f t="shared" si="8"/>
        <v>6516</v>
      </c>
      <c r="L184" s="6">
        <f t="shared" si="9"/>
        <v>-91224</v>
      </c>
      <c r="M184" s="6">
        <f>_xlfn.XLOOKUP(E184, Products!A:A, Products!E:E)</f>
        <v>222</v>
      </c>
      <c r="N184" s="6">
        <f t="shared" si="10"/>
        <v>888</v>
      </c>
      <c r="O184" s="8">
        <f t="shared" si="11"/>
        <v>-92112</v>
      </c>
      <c r="Q184" s="8"/>
      <c r="R184" s="8"/>
    </row>
    <row r="185" spans="1:18">
      <c r="A185" s="4">
        <v>100310</v>
      </c>
      <c r="B185" s="1">
        <v>45362</v>
      </c>
      <c r="C185" s="1">
        <v>45297</v>
      </c>
      <c r="D185" t="s">
        <v>216</v>
      </c>
      <c r="E185" t="s">
        <v>44</v>
      </c>
      <c r="F185">
        <v>4</v>
      </c>
      <c r="G185">
        <v>781</v>
      </c>
      <c r="H185">
        <v>10</v>
      </c>
      <c r="I185" t="s">
        <v>12</v>
      </c>
      <c r="J185" t="s">
        <v>16</v>
      </c>
      <c r="K185" s="6">
        <f t="shared" si="8"/>
        <v>3124</v>
      </c>
      <c r="L185" s="6">
        <f t="shared" si="9"/>
        <v>-28116</v>
      </c>
      <c r="M185" s="6">
        <f>_xlfn.XLOOKUP(E185, Products!A:A, Products!E:E)</f>
        <v>204</v>
      </c>
      <c r="N185" s="6">
        <f t="shared" si="10"/>
        <v>816</v>
      </c>
      <c r="O185" s="8">
        <f t="shared" si="11"/>
        <v>-28932</v>
      </c>
      <c r="Q185" s="8"/>
      <c r="R185" s="8"/>
    </row>
    <row r="186" spans="1:18">
      <c r="A186" s="4">
        <v>100012</v>
      </c>
      <c r="B186" s="1">
        <v>45362</v>
      </c>
      <c r="C186" s="1">
        <v>45296</v>
      </c>
      <c r="D186" t="s">
        <v>40</v>
      </c>
      <c r="E186" t="s">
        <v>41</v>
      </c>
      <c r="F186">
        <v>4</v>
      </c>
      <c r="G186">
        <v>850</v>
      </c>
      <c r="H186">
        <v>5</v>
      </c>
      <c r="I186" t="s">
        <v>29</v>
      </c>
      <c r="J186" t="s">
        <v>16</v>
      </c>
      <c r="K186" s="6">
        <f t="shared" si="8"/>
        <v>3400</v>
      </c>
      <c r="L186" s="6">
        <f t="shared" si="9"/>
        <v>-13600</v>
      </c>
      <c r="M186" s="6">
        <f>_xlfn.XLOOKUP(E186, Products!A:A, Products!E:E)</f>
        <v>125</v>
      </c>
      <c r="N186" s="6">
        <f t="shared" si="10"/>
        <v>500</v>
      </c>
      <c r="O186" s="8">
        <f t="shared" si="11"/>
        <v>-14100</v>
      </c>
      <c r="Q186" s="8"/>
      <c r="R186" s="8"/>
    </row>
    <row r="187" spans="1:18">
      <c r="A187" s="4">
        <v>100972</v>
      </c>
      <c r="B187" s="1">
        <v>45362</v>
      </c>
      <c r="C187" s="1">
        <v>45299</v>
      </c>
      <c r="D187" t="s">
        <v>58</v>
      </c>
      <c r="E187" t="s">
        <v>217</v>
      </c>
      <c r="F187">
        <v>4</v>
      </c>
      <c r="G187">
        <v>548</v>
      </c>
      <c r="H187">
        <v>0</v>
      </c>
      <c r="I187" t="s">
        <v>19</v>
      </c>
      <c r="J187" t="s">
        <v>26</v>
      </c>
      <c r="K187" s="6">
        <f t="shared" si="8"/>
        <v>2192</v>
      </c>
      <c r="L187" s="6">
        <f t="shared" si="9"/>
        <v>2192</v>
      </c>
      <c r="M187" s="6">
        <f>_xlfn.XLOOKUP(E187, Products!A:A, Products!E:E)</f>
        <v>223</v>
      </c>
      <c r="N187" s="6">
        <f t="shared" si="10"/>
        <v>892</v>
      </c>
      <c r="O187" s="8">
        <f t="shared" si="11"/>
        <v>1300</v>
      </c>
      <c r="Q187" s="8"/>
      <c r="R187" s="8"/>
    </row>
    <row r="188" spans="1:18">
      <c r="A188" s="4">
        <v>100241</v>
      </c>
      <c r="B188" s="1">
        <v>45362</v>
      </c>
      <c r="C188" s="1">
        <v>45295</v>
      </c>
      <c r="D188" t="s">
        <v>104</v>
      </c>
      <c r="E188" t="s">
        <v>269</v>
      </c>
      <c r="F188">
        <v>4</v>
      </c>
      <c r="G188">
        <v>612</v>
      </c>
      <c r="H188">
        <v>0</v>
      </c>
      <c r="I188" t="s">
        <v>32</v>
      </c>
      <c r="J188" t="s">
        <v>13</v>
      </c>
      <c r="K188" s="6">
        <f t="shared" si="8"/>
        <v>2448</v>
      </c>
      <c r="L188" s="6">
        <f t="shared" si="9"/>
        <v>2448</v>
      </c>
      <c r="M188" s="6">
        <f>_xlfn.XLOOKUP(E188, Products!A:A, Products!E:E)</f>
        <v>128</v>
      </c>
      <c r="N188" s="6">
        <f t="shared" si="10"/>
        <v>512</v>
      </c>
      <c r="O188" s="8">
        <f t="shared" si="11"/>
        <v>1936</v>
      </c>
      <c r="Q188" s="8"/>
      <c r="R188" s="8"/>
    </row>
    <row r="189" spans="1:18">
      <c r="A189" s="4">
        <v>100449</v>
      </c>
      <c r="B189" s="1">
        <v>45358</v>
      </c>
      <c r="C189" s="1">
        <v>45301</v>
      </c>
      <c r="D189" t="s">
        <v>271</v>
      </c>
      <c r="E189" t="s">
        <v>83</v>
      </c>
      <c r="F189">
        <v>4</v>
      </c>
      <c r="G189">
        <v>715</v>
      </c>
      <c r="H189">
        <v>0</v>
      </c>
      <c r="I189" t="s">
        <v>12</v>
      </c>
      <c r="J189" t="s">
        <v>22</v>
      </c>
      <c r="K189" s="6">
        <f t="shared" si="8"/>
        <v>2860</v>
      </c>
      <c r="L189" s="6">
        <f t="shared" si="9"/>
        <v>2860</v>
      </c>
      <c r="M189" s="6">
        <f>_xlfn.XLOOKUP(E189, Products!A:A, Products!E:E)</f>
        <v>243</v>
      </c>
      <c r="N189" s="6">
        <f t="shared" si="10"/>
        <v>972</v>
      </c>
      <c r="O189" s="8">
        <f t="shared" si="11"/>
        <v>1888</v>
      </c>
      <c r="Q189" s="8"/>
      <c r="R189" s="8"/>
    </row>
    <row r="190" spans="1:18">
      <c r="A190" s="4">
        <v>100201</v>
      </c>
      <c r="B190" s="1">
        <v>45357</v>
      </c>
      <c r="C190" s="1">
        <v>45298</v>
      </c>
      <c r="D190" t="s">
        <v>140</v>
      </c>
      <c r="E190" t="s">
        <v>101</v>
      </c>
      <c r="F190">
        <v>4</v>
      </c>
      <c r="G190">
        <v>434</v>
      </c>
      <c r="H190">
        <v>10</v>
      </c>
      <c r="I190" t="s">
        <v>32</v>
      </c>
      <c r="J190" t="s">
        <v>22</v>
      </c>
      <c r="K190" s="6">
        <f t="shared" si="8"/>
        <v>1736</v>
      </c>
      <c r="L190" s="6">
        <f t="shared" si="9"/>
        <v>-15624</v>
      </c>
      <c r="M190" s="6">
        <f>_xlfn.XLOOKUP(E190, Products!A:A, Products!E:E)</f>
        <v>126</v>
      </c>
      <c r="N190" s="6">
        <f t="shared" si="10"/>
        <v>504</v>
      </c>
      <c r="O190" s="8">
        <f t="shared" si="11"/>
        <v>-16128</v>
      </c>
      <c r="Q190" s="8"/>
      <c r="R190" s="8"/>
    </row>
    <row r="191" spans="1:18">
      <c r="A191" s="4">
        <v>100103</v>
      </c>
      <c r="B191" s="1">
        <v>45356</v>
      </c>
      <c r="C191" s="1">
        <v>45296</v>
      </c>
      <c r="D191" t="s">
        <v>169</v>
      </c>
      <c r="E191" t="s">
        <v>170</v>
      </c>
      <c r="F191">
        <v>4</v>
      </c>
      <c r="G191">
        <v>1615</v>
      </c>
      <c r="H191">
        <v>0</v>
      </c>
      <c r="I191" t="s">
        <v>19</v>
      </c>
      <c r="J191" t="s">
        <v>26</v>
      </c>
      <c r="K191" s="6">
        <f t="shared" si="8"/>
        <v>6460</v>
      </c>
      <c r="L191" s="6">
        <f t="shared" si="9"/>
        <v>6460</v>
      </c>
      <c r="M191" s="6">
        <f>_xlfn.XLOOKUP(E191, Products!A:A, Products!E:E)</f>
        <v>264</v>
      </c>
      <c r="N191" s="6">
        <f t="shared" si="10"/>
        <v>1056</v>
      </c>
      <c r="O191" s="8">
        <f t="shared" si="11"/>
        <v>5404</v>
      </c>
      <c r="Q191" s="8"/>
      <c r="R191" s="8"/>
    </row>
    <row r="192" spans="1:18">
      <c r="A192" s="4">
        <v>100833</v>
      </c>
      <c r="B192" s="1">
        <v>45356</v>
      </c>
      <c r="C192" s="1">
        <v>45298</v>
      </c>
      <c r="D192" t="s">
        <v>388</v>
      </c>
      <c r="E192" t="s">
        <v>65</v>
      </c>
      <c r="F192">
        <v>4</v>
      </c>
      <c r="G192">
        <v>725</v>
      </c>
      <c r="H192">
        <v>15</v>
      </c>
      <c r="I192" t="s">
        <v>19</v>
      </c>
      <c r="J192" t="s">
        <v>22</v>
      </c>
      <c r="K192" s="6">
        <f t="shared" si="8"/>
        <v>2900</v>
      </c>
      <c r="L192" s="6">
        <f t="shared" si="9"/>
        <v>-40600</v>
      </c>
      <c r="M192" s="6">
        <f>_xlfn.XLOOKUP(E192, Products!A:A, Products!E:E)</f>
        <v>213</v>
      </c>
      <c r="N192" s="6">
        <f t="shared" si="10"/>
        <v>852</v>
      </c>
      <c r="O192" s="8">
        <f t="shared" si="11"/>
        <v>-41452</v>
      </c>
      <c r="Q192" s="8"/>
      <c r="R192" s="8"/>
    </row>
    <row r="193" spans="1:18">
      <c r="A193" s="4">
        <v>100536</v>
      </c>
      <c r="B193" s="1">
        <v>45354</v>
      </c>
      <c r="C193" s="1">
        <v>45301</v>
      </c>
      <c r="D193" t="s">
        <v>266</v>
      </c>
      <c r="E193" t="s">
        <v>61</v>
      </c>
      <c r="F193">
        <v>4</v>
      </c>
      <c r="G193">
        <v>780</v>
      </c>
      <c r="H193">
        <v>15</v>
      </c>
      <c r="I193" t="s">
        <v>12</v>
      </c>
      <c r="J193" t="s">
        <v>16</v>
      </c>
      <c r="K193" s="6">
        <f t="shared" si="8"/>
        <v>3120</v>
      </c>
      <c r="L193" s="6">
        <f t="shared" si="9"/>
        <v>-43680</v>
      </c>
      <c r="M193" s="6">
        <f>_xlfn.XLOOKUP(E193, Products!A:A, Products!E:E)</f>
        <v>65</v>
      </c>
      <c r="N193" s="6">
        <f t="shared" si="10"/>
        <v>260</v>
      </c>
      <c r="O193" s="8">
        <f t="shared" si="11"/>
        <v>-43940</v>
      </c>
      <c r="Q193" s="8"/>
      <c r="R193" s="8"/>
    </row>
    <row r="194" spans="1:18">
      <c r="A194" s="4">
        <v>100287</v>
      </c>
      <c r="B194" s="1">
        <v>45352</v>
      </c>
      <c r="C194" s="1">
        <v>45301</v>
      </c>
      <c r="D194" t="s">
        <v>58</v>
      </c>
      <c r="E194" t="s">
        <v>152</v>
      </c>
      <c r="F194">
        <v>4</v>
      </c>
      <c r="G194">
        <v>467</v>
      </c>
      <c r="H194">
        <v>0</v>
      </c>
      <c r="I194" t="s">
        <v>12</v>
      </c>
      <c r="J194" t="s">
        <v>16</v>
      </c>
      <c r="K194" s="6">
        <f t="shared" ref="K194:K257" si="12">F194*G194</f>
        <v>1868</v>
      </c>
      <c r="L194" s="6">
        <f t="shared" si="9"/>
        <v>1868</v>
      </c>
      <c r="M194" s="6">
        <f>_xlfn.XLOOKUP(E194, Products!A:A, Products!E:E)</f>
        <v>272</v>
      </c>
      <c r="N194" s="6">
        <f t="shared" si="10"/>
        <v>1088</v>
      </c>
      <c r="O194" s="8">
        <f t="shared" si="11"/>
        <v>780</v>
      </c>
      <c r="Q194" s="8"/>
      <c r="R194" s="8"/>
    </row>
    <row r="195" spans="1:18">
      <c r="A195" s="4">
        <v>100407</v>
      </c>
      <c r="B195" s="1">
        <v>45348</v>
      </c>
      <c r="C195" s="1">
        <v>45294</v>
      </c>
      <c r="D195" t="s">
        <v>66</v>
      </c>
      <c r="E195" t="s">
        <v>87</v>
      </c>
      <c r="F195">
        <v>4</v>
      </c>
      <c r="G195">
        <v>719</v>
      </c>
      <c r="H195">
        <v>5</v>
      </c>
      <c r="I195" t="s">
        <v>12</v>
      </c>
      <c r="J195" t="s">
        <v>22</v>
      </c>
      <c r="K195" s="6">
        <f t="shared" si="12"/>
        <v>2876</v>
      </c>
      <c r="L195" s="6">
        <f t="shared" ref="L195:L258" si="13">F195*G195*(1-H195)</f>
        <v>-11504</v>
      </c>
      <c r="M195" s="6">
        <f>_xlfn.XLOOKUP(E195, Products!A:A, Products!E:E)</f>
        <v>269</v>
      </c>
      <c r="N195" s="6">
        <f t="shared" ref="N195:N258" si="14">F195*M195</f>
        <v>1076</v>
      </c>
      <c r="O195" s="8">
        <f t="shared" ref="O195:O258" si="15">L195-N195</f>
        <v>-12580</v>
      </c>
      <c r="Q195" s="8"/>
      <c r="R195" s="8"/>
    </row>
    <row r="196" spans="1:18">
      <c r="A196" s="4">
        <v>100516</v>
      </c>
      <c r="B196" s="1">
        <v>45346</v>
      </c>
      <c r="C196" s="1">
        <v>45296</v>
      </c>
      <c r="D196" t="s">
        <v>20</v>
      </c>
      <c r="E196" t="s">
        <v>217</v>
      </c>
      <c r="F196">
        <v>4</v>
      </c>
      <c r="G196">
        <v>272</v>
      </c>
      <c r="H196">
        <v>0</v>
      </c>
      <c r="I196" t="s">
        <v>12</v>
      </c>
      <c r="J196" t="s">
        <v>22</v>
      </c>
      <c r="K196" s="6">
        <f t="shared" si="12"/>
        <v>1088</v>
      </c>
      <c r="L196" s="6">
        <f t="shared" si="13"/>
        <v>1088</v>
      </c>
      <c r="M196" s="6">
        <f>_xlfn.XLOOKUP(E196, Products!A:A, Products!E:E)</f>
        <v>223</v>
      </c>
      <c r="N196" s="6">
        <f t="shared" si="14"/>
        <v>892</v>
      </c>
      <c r="O196" s="8">
        <f t="shared" si="15"/>
        <v>196</v>
      </c>
      <c r="Q196" s="8"/>
      <c r="R196" s="8"/>
    </row>
    <row r="197" spans="1:18">
      <c r="A197" s="4">
        <v>100100</v>
      </c>
      <c r="B197" s="1">
        <v>45346</v>
      </c>
      <c r="C197" s="1">
        <v>45300</v>
      </c>
      <c r="D197" t="s">
        <v>114</v>
      </c>
      <c r="E197" t="s">
        <v>165</v>
      </c>
      <c r="F197">
        <v>4</v>
      </c>
      <c r="G197">
        <v>743</v>
      </c>
      <c r="H197">
        <v>15</v>
      </c>
      <c r="I197" t="s">
        <v>32</v>
      </c>
      <c r="J197" t="s">
        <v>26</v>
      </c>
      <c r="K197" s="6">
        <f t="shared" si="12"/>
        <v>2972</v>
      </c>
      <c r="L197" s="6">
        <f t="shared" si="13"/>
        <v>-41608</v>
      </c>
      <c r="M197" s="6">
        <f>_xlfn.XLOOKUP(E197, Products!A:A, Products!E:E)</f>
        <v>241</v>
      </c>
      <c r="N197" s="6">
        <f t="shared" si="14"/>
        <v>964</v>
      </c>
      <c r="O197" s="8">
        <f t="shared" si="15"/>
        <v>-42572</v>
      </c>
      <c r="Q197" s="8"/>
      <c r="R197" s="8"/>
    </row>
    <row r="198" spans="1:18">
      <c r="A198" s="4">
        <v>100544</v>
      </c>
      <c r="B198" s="1">
        <v>45345</v>
      </c>
      <c r="C198" s="1">
        <v>45299</v>
      </c>
      <c r="D198" t="s">
        <v>360</v>
      </c>
      <c r="E198" t="s">
        <v>204</v>
      </c>
      <c r="F198">
        <v>4</v>
      </c>
      <c r="G198">
        <v>1996</v>
      </c>
      <c r="H198">
        <v>10</v>
      </c>
      <c r="I198" t="s">
        <v>19</v>
      </c>
      <c r="J198" t="s">
        <v>13</v>
      </c>
      <c r="K198" s="6">
        <f t="shared" si="12"/>
        <v>7984</v>
      </c>
      <c r="L198" s="6">
        <f t="shared" si="13"/>
        <v>-71856</v>
      </c>
      <c r="M198" s="6">
        <f>_xlfn.XLOOKUP(E198, Products!A:A, Products!E:E)</f>
        <v>229</v>
      </c>
      <c r="N198" s="6">
        <f t="shared" si="14"/>
        <v>916</v>
      </c>
      <c r="O198" s="8">
        <f t="shared" si="15"/>
        <v>-72772</v>
      </c>
      <c r="Q198" s="8"/>
      <c r="R198" s="8"/>
    </row>
    <row r="199" spans="1:18">
      <c r="A199" s="4">
        <v>100595</v>
      </c>
      <c r="B199" s="1">
        <v>45341</v>
      </c>
      <c r="C199" s="1">
        <v>45299</v>
      </c>
      <c r="D199" t="s">
        <v>324</v>
      </c>
      <c r="E199" t="s">
        <v>44</v>
      </c>
      <c r="F199">
        <v>4</v>
      </c>
      <c r="G199">
        <v>1319</v>
      </c>
      <c r="H199">
        <v>0</v>
      </c>
      <c r="I199" t="s">
        <v>32</v>
      </c>
      <c r="J199" t="s">
        <v>22</v>
      </c>
      <c r="K199" s="6">
        <f t="shared" si="12"/>
        <v>5276</v>
      </c>
      <c r="L199" s="6">
        <f t="shared" si="13"/>
        <v>5276</v>
      </c>
      <c r="M199" s="6">
        <f>_xlfn.XLOOKUP(E199, Products!A:A, Products!E:E)</f>
        <v>204</v>
      </c>
      <c r="N199" s="6">
        <f t="shared" si="14"/>
        <v>816</v>
      </c>
      <c r="O199" s="8">
        <f t="shared" si="15"/>
        <v>4460</v>
      </c>
      <c r="Q199" s="8"/>
      <c r="R199" s="8"/>
    </row>
    <row r="200" spans="1:18">
      <c r="A200" s="4">
        <v>100174</v>
      </c>
      <c r="B200" s="1">
        <v>45338</v>
      </c>
      <c r="C200" s="1">
        <v>45298</v>
      </c>
      <c r="D200" t="s">
        <v>227</v>
      </c>
      <c r="E200" t="s">
        <v>34</v>
      </c>
      <c r="F200">
        <v>4</v>
      </c>
      <c r="G200">
        <v>683</v>
      </c>
      <c r="H200">
        <v>5</v>
      </c>
      <c r="I200" t="s">
        <v>29</v>
      </c>
      <c r="J200" t="s">
        <v>13</v>
      </c>
      <c r="K200" s="6">
        <f t="shared" si="12"/>
        <v>2732</v>
      </c>
      <c r="L200" s="6">
        <f t="shared" si="13"/>
        <v>-10928</v>
      </c>
      <c r="M200" s="6">
        <f>_xlfn.XLOOKUP(E200, Products!A:A, Products!E:E)</f>
        <v>187</v>
      </c>
      <c r="N200" s="6">
        <f t="shared" si="14"/>
        <v>748</v>
      </c>
      <c r="O200" s="8">
        <f t="shared" si="15"/>
        <v>-11676</v>
      </c>
      <c r="Q200" s="8"/>
      <c r="R200" s="8"/>
    </row>
    <row r="201" spans="1:18">
      <c r="A201" s="4">
        <v>100188</v>
      </c>
      <c r="B201" s="1">
        <v>45335</v>
      </c>
      <c r="C201" s="1">
        <v>45301</v>
      </c>
      <c r="D201" t="s">
        <v>133</v>
      </c>
      <c r="E201" t="s">
        <v>180</v>
      </c>
      <c r="F201">
        <v>4</v>
      </c>
      <c r="G201">
        <v>509</v>
      </c>
      <c r="H201">
        <v>10</v>
      </c>
      <c r="I201" t="s">
        <v>32</v>
      </c>
      <c r="J201" t="s">
        <v>22</v>
      </c>
      <c r="K201" s="6">
        <f t="shared" si="12"/>
        <v>2036</v>
      </c>
      <c r="L201" s="6">
        <f t="shared" si="13"/>
        <v>-18324</v>
      </c>
      <c r="M201" s="6">
        <f>_xlfn.XLOOKUP(E201, Products!A:A, Products!E:E)</f>
        <v>81</v>
      </c>
      <c r="N201" s="6">
        <f t="shared" si="14"/>
        <v>324</v>
      </c>
      <c r="O201" s="8">
        <f t="shared" si="15"/>
        <v>-18648</v>
      </c>
      <c r="Q201" s="8"/>
      <c r="R201" s="8"/>
    </row>
    <row r="202" spans="1:18">
      <c r="A202" s="4">
        <v>100715</v>
      </c>
      <c r="B202" s="1">
        <v>45335</v>
      </c>
      <c r="C202" s="1">
        <v>45300</v>
      </c>
      <c r="D202" t="s">
        <v>394</v>
      </c>
      <c r="E202" t="s">
        <v>39</v>
      </c>
      <c r="F202">
        <v>4</v>
      </c>
      <c r="G202">
        <v>1667</v>
      </c>
      <c r="H202">
        <v>10</v>
      </c>
      <c r="I202" t="s">
        <v>32</v>
      </c>
      <c r="J202" t="s">
        <v>13</v>
      </c>
      <c r="K202" s="6">
        <f t="shared" si="12"/>
        <v>6668</v>
      </c>
      <c r="L202" s="6">
        <f t="shared" si="13"/>
        <v>-60012</v>
      </c>
      <c r="M202" s="6">
        <f>_xlfn.XLOOKUP(E202, Products!A:A, Products!E:E)</f>
        <v>238</v>
      </c>
      <c r="N202" s="6">
        <f t="shared" si="14"/>
        <v>952</v>
      </c>
      <c r="O202" s="8">
        <f t="shared" si="15"/>
        <v>-60964</v>
      </c>
      <c r="Q202" s="8"/>
      <c r="R202" s="8"/>
    </row>
    <row r="203" spans="1:18">
      <c r="A203" s="4">
        <v>100787</v>
      </c>
      <c r="B203" s="1">
        <v>45334</v>
      </c>
      <c r="C203" s="1">
        <v>45299</v>
      </c>
      <c r="D203" t="s">
        <v>357</v>
      </c>
      <c r="E203" t="s">
        <v>190</v>
      </c>
      <c r="F203">
        <v>4</v>
      </c>
      <c r="G203">
        <v>670</v>
      </c>
      <c r="H203">
        <v>10</v>
      </c>
      <c r="I203" t="s">
        <v>29</v>
      </c>
      <c r="J203" t="s">
        <v>16</v>
      </c>
      <c r="K203" s="6">
        <f t="shared" si="12"/>
        <v>2680</v>
      </c>
      <c r="L203" s="6">
        <f t="shared" si="13"/>
        <v>-24120</v>
      </c>
      <c r="M203" s="6">
        <f>_xlfn.XLOOKUP(E203, Products!A:A, Products!E:E)</f>
        <v>273</v>
      </c>
      <c r="N203" s="6">
        <f t="shared" si="14"/>
        <v>1092</v>
      </c>
      <c r="O203" s="8">
        <f t="shared" si="15"/>
        <v>-25212</v>
      </c>
      <c r="Q203" s="8"/>
      <c r="R203" s="8"/>
    </row>
    <row r="204" spans="1:18">
      <c r="A204" s="4">
        <v>100187</v>
      </c>
      <c r="B204" s="1">
        <v>45331</v>
      </c>
      <c r="C204" s="1">
        <v>45296</v>
      </c>
      <c r="D204" t="s">
        <v>198</v>
      </c>
      <c r="E204" t="s">
        <v>195</v>
      </c>
      <c r="F204">
        <v>4</v>
      </c>
      <c r="G204">
        <v>212</v>
      </c>
      <c r="H204">
        <v>10</v>
      </c>
      <c r="I204" t="s">
        <v>12</v>
      </c>
      <c r="J204" t="s">
        <v>22</v>
      </c>
      <c r="K204" s="6">
        <f t="shared" si="12"/>
        <v>848</v>
      </c>
      <c r="L204" s="6">
        <f t="shared" si="13"/>
        <v>-7632</v>
      </c>
      <c r="M204" s="6">
        <f>_xlfn.XLOOKUP(E204, Products!A:A, Products!E:E)</f>
        <v>261</v>
      </c>
      <c r="N204" s="6">
        <f t="shared" si="14"/>
        <v>1044</v>
      </c>
      <c r="O204" s="8">
        <f t="shared" si="15"/>
        <v>-8676</v>
      </c>
      <c r="Q204" s="8"/>
      <c r="R204" s="8"/>
    </row>
    <row r="205" spans="1:18">
      <c r="A205" s="4">
        <v>100345</v>
      </c>
      <c r="B205" s="1">
        <v>45330</v>
      </c>
      <c r="C205" s="1">
        <v>45297</v>
      </c>
      <c r="D205" t="s">
        <v>316</v>
      </c>
      <c r="E205" t="s">
        <v>176</v>
      </c>
      <c r="F205">
        <v>4</v>
      </c>
      <c r="G205">
        <v>663</v>
      </c>
      <c r="H205">
        <v>15</v>
      </c>
      <c r="I205" t="s">
        <v>12</v>
      </c>
      <c r="J205" t="s">
        <v>16</v>
      </c>
      <c r="K205" s="6">
        <f t="shared" si="12"/>
        <v>2652</v>
      </c>
      <c r="L205" s="6">
        <f t="shared" si="13"/>
        <v>-37128</v>
      </c>
      <c r="M205" s="6">
        <f>_xlfn.XLOOKUP(E205, Products!A:A, Products!E:E)</f>
        <v>61</v>
      </c>
      <c r="N205" s="6">
        <f t="shared" si="14"/>
        <v>244</v>
      </c>
      <c r="O205" s="8">
        <f t="shared" si="15"/>
        <v>-37372</v>
      </c>
      <c r="Q205" s="8"/>
      <c r="R205" s="8"/>
    </row>
    <row r="206" spans="1:18">
      <c r="A206" s="4">
        <v>100057</v>
      </c>
      <c r="B206" s="1">
        <v>45328</v>
      </c>
      <c r="C206" s="1">
        <v>45299</v>
      </c>
      <c r="D206" t="s">
        <v>114</v>
      </c>
      <c r="E206" t="s">
        <v>115</v>
      </c>
      <c r="F206">
        <v>4</v>
      </c>
      <c r="G206">
        <v>378</v>
      </c>
      <c r="H206">
        <v>0</v>
      </c>
      <c r="I206" t="s">
        <v>29</v>
      </c>
      <c r="J206" t="s">
        <v>16</v>
      </c>
      <c r="K206" s="6">
        <f t="shared" si="12"/>
        <v>1512</v>
      </c>
      <c r="L206" s="6">
        <f t="shared" si="13"/>
        <v>1512</v>
      </c>
      <c r="M206" s="6">
        <f>_xlfn.XLOOKUP(E206, Products!A:A, Products!E:E)</f>
        <v>211</v>
      </c>
      <c r="N206" s="6">
        <f t="shared" si="14"/>
        <v>844</v>
      </c>
      <c r="O206" s="8">
        <f t="shared" si="15"/>
        <v>668</v>
      </c>
      <c r="Q206" s="8"/>
      <c r="R206" s="8"/>
    </row>
    <row r="207" spans="1:18">
      <c r="A207" s="4">
        <v>100232</v>
      </c>
      <c r="B207" s="1">
        <v>45328</v>
      </c>
      <c r="C207" s="1">
        <v>45300</v>
      </c>
      <c r="D207" t="s">
        <v>263</v>
      </c>
      <c r="E207" t="s">
        <v>137</v>
      </c>
      <c r="F207">
        <v>4</v>
      </c>
      <c r="G207">
        <v>842</v>
      </c>
      <c r="H207">
        <v>10</v>
      </c>
      <c r="I207" t="s">
        <v>19</v>
      </c>
      <c r="J207" t="s">
        <v>16</v>
      </c>
      <c r="K207" s="6">
        <f t="shared" si="12"/>
        <v>3368</v>
      </c>
      <c r="L207" s="6">
        <f t="shared" si="13"/>
        <v>-30312</v>
      </c>
      <c r="M207" s="6">
        <f>_xlfn.XLOOKUP(E207, Products!A:A, Products!E:E)</f>
        <v>239</v>
      </c>
      <c r="N207" s="6">
        <f t="shared" si="14"/>
        <v>956</v>
      </c>
      <c r="O207" s="8">
        <f t="shared" si="15"/>
        <v>-31268</v>
      </c>
      <c r="Q207" s="8"/>
      <c r="R207" s="8"/>
    </row>
    <row r="208" spans="1:18">
      <c r="A208" s="4">
        <v>100868</v>
      </c>
      <c r="B208" s="1">
        <v>45327</v>
      </c>
      <c r="C208" s="1">
        <v>45299</v>
      </c>
      <c r="D208" t="s">
        <v>30</v>
      </c>
      <c r="E208" t="s">
        <v>129</v>
      </c>
      <c r="F208">
        <v>4</v>
      </c>
      <c r="G208">
        <v>1891</v>
      </c>
      <c r="H208">
        <v>10</v>
      </c>
      <c r="I208" t="s">
        <v>19</v>
      </c>
      <c r="J208" t="s">
        <v>22</v>
      </c>
      <c r="K208" s="6">
        <f t="shared" si="12"/>
        <v>7564</v>
      </c>
      <c r="L208" s="6">
        <f t="shared" si="13"/>
        <v>-68076</v>
      </c>
      <c r="M208" s="6">
        <f>_xlfn.XLOOKUP(E208, Products!A:A, Products!E:E)</f>
        <v>171</v>
      </c>
      <c r="N208" s="6">
        <f t="shared" si="14"/>
        <v>684</v>
      </c>
      <c r="O208" s="8">
        <f t="shared" si="15"/>
        <v>-68760</v>
      </c>
      <c r="Q208" s="8"/>
      <c r="R208" s="8"/>
    </row>
    <row r="209" spans="1:18">
      <c r="A209" s="4">
        <v>100650</v>
      </c>
      <c r="B209" s="1">
        <v>45327</v>
      </c>
      <c r="C209" s="1">
        <v>45299</v>
      </c>
      <c r="D209" t="s">
        <v>254</v>
      </c>
      <c r="E209" t="s">
        <v>210</v>
      </c>
      <c r="F209">
        <v>4</v>
      </c>
      <c r="G209">
        <v>694</v>
      </c>
      <c r="H209">
        <v>10</v>
      </c>
      <c r="I209" t="s">
        <v>29</v>
      </c>
      <c r="J209" t="s">
        <v>26</v>
      </c>
      <c r="K209" s="6">
        <f t="shared" si="12"/>
        <v>2776</v>
      </c>
      <c r="L209" s="6">
        <f t="shared" si="13"/>
        <v>-24984</v>
      </c>
      <c r="M209" s="6">
        <f>_xlfn.XLOOKUP(E209, Products!A:A, Products!E:E)</f>
        <v>135</v>
      </c>
      <c r="N209" s="6">
        <f t="shared" si="14"/>
        <v>540</v>
      </c>
      <c r="O209" s="8">
        <f t="shared" si="15"/>
        <v>-25524</v>
      </c>
      <c r="Q209" s="8"/>
      <c r="R209" s="8"/>
    </row>
    <row r="210" spans="1:18">
      <c r="A210" s="4">
        <v>100096</v>
      </c>
      <c r="B210" s="1">
        <v>45325</v>
      </c>
      <c r="C210" s="1">
        <v>45297</v>
      </c>
      <c r="D210" t="s">
        <v>161</v>
      </c>
      <c r="E210" t="s">
        <v>48</v>
      </c>
      <c r="F210">
        <v>4</v>
      </c>
      <c r="G210">
        <v>1979</v>
      </c>
      <c r="H210">
        <v>15</v>
      </c>
      <c r="I210" t="s">
        <v>12</v>
      </c>
      <c r="J210" t="s">
        <v>22</v>
      </c>
      <c r="K210" s="6">
        <f t="shared" si="12"/>
        <v>7916</v>
      </c>
      <c r="L210" s="6">
        <f t="shared" si="13"/>
        <v>-110824</v>
      </c>
      <c r="M210" s="6">
        <f>_xlfn.XLOOKUP(E210, Products!A:A, Products!E:E)</f>
        <v>179</v>
      </c>
      <c r="N210" s="6">
        <f t="shared" si="14"/>
        <v>716</v>
      </c>
      <c r="O210" s="8">
        <f t="shared" si="15"/>
        <v>-111540</v>
      </c>
      <c r="Q210" s="8"/>
      <c r="R210" s="8"/>
    </row>
    <row r="211" spans="1:18">
      <c r="A211" s="4">
        <v>100265</v>
      </c>
      <c r="B211" s="1">
        <v>45324</v>
      </c>
      <c r="C211" s="1">
        <v>45298</v>
      </c>
      <c r="D211" t="s">
        <v>279</v>
      </c>
      <c r="E211" t="s">
        <v>56</v>
      </c>
      <c r="F211">
        <v>4</v>
      </c>
      <c r="G211">
        <v>1157</v>
      </c>
      <c r="H211">
        <v>5</v>
      </c>
      <c r="I211" t="s">
        <v>32</v>
      </c>
      <c r="J211" t="s">
        <v>16</v>
      </c>
      <c r="K211" s="6">
        <f t="shared" si="12"/>
        <v>4628</v>
      </c>
      <c r="L211" s="6">
        <f t="shared" si="13"/>
        <v>-18512</v>
      </c>
      <c r="M211" s="6">
        <f>_xlfn.XLOOKUP(E211, Products!A:A, Products!E:E)</f>
        <v>212</v>
      </c>
      <c r="N211" s="6">
        <f t="shared" si="14"/>
        <v>848</v>
      </c>
      <c r="O211" s="8">
        <f t="shared" si="15"/>
        <v>-19360</v>
      </c>
      <c r="Q211" s="8"/>
      <c r="R211" s="8"/>
    </row>
    <row r="212" spans="1:18">
      <c r="A212" s="4">
        <v>100552</v>
      </c>
      <c r="B212" s="1">
        <v>45324</v>
      </c>
      <c r="C212" s="1">
        <v>45294</v>
      </c>
      <c r="D212" t="s">
        <v>282</v>
      </c>
      <c r="E212" t="s">
        <v>85</v>
      </c>
      <c r="F212">
        <v>4</v>
      </c>
      <c r="G212">
        <v>1368</v>
      </c>
      <c r="H212">
        <v>5</v>
      </c>
      <c r="I212" t="s">
        <v>12</v>
      </c>
      <c r="J212" t="s">
        <v>16</v>
      </c>
      <c r="K212" s="6">
        <f t="shared" si="12"/>
        <v>5472</v>
      </c>
      <c r="L212" s="6">
        <f t="shared" si="13"/>
        <v>-21888</v>
      </c>
      <c r="M212" s="6">
        <f>_xlfn.XLOOKUP(E212, Products!A:A, Products!E:E)</f>
        <v>148</v>
      </c>
      <c r="N212" s="6">
        <f t="shared" si="14"/>
        <v>592</v>
      </c>
      <c r="O212" s="8">
        <f t="shared" si="15"/>
        <v>-22480</v>
      </c>
      <c r="Q212" s="8"/>
      <c r="R212" s="8"/>
    </row>
    <row r="213" spans="1:18">
      <c r="A213" s="4">
        <v>100935</v>
      </c>
      <c r="B213" s="1">
        <v>45324</v>
      </c>
      <c r="C213" s="1">
        <v>45302</v>
      </c>
      <c r="D213" t="s">
        <v>259</v>
      </c>
      <c r="E213" t="s">
        <v>156</v>
      </c>
      <c r="F213">
        <v>4</v>
      </c>
      <c r="G213">
        <v>1324</v>
      </c>
      <c r="H213">
        <v>5</v>
      </c>
      <c r="I213" t="s">
        <v>19</v>
      </c>
      <c r="J213" t="s">
        <v>26</v>
      </c>
      <c r="K213" s="6">
        <f t="shared" si="12"/>
        <v>5296</v>
      </c>
      <c r="L213" s="6">
        <f t="shared" si="13"/>
        <v>-21184</v>
      </c>
      <c r="M213" s="6">
        <f>_xlfn.XLOOKUP(E213, Products!A:A, Products!E:E)</f>
        <v>168</v>
      </c>
      <c r="N213" s="6">
        <f t="shared" si="14"/>
        <v>672</v>
      </c>
      <c r="O213" s="8">
        <f t="shared" si="15"/>
        <v>-21856</v>
      </c>
      <c r="Q213" s="8"/>
      <c r="R213" s="8"/>
    </row>
    <row r="214" spans="1:18">
      <c r="A214" s="4">
        <v>100748</v>
      </c>
      <c r="B214" s="1">
        <v>45321</v>
      </c>
      <c r="C214" s="1">
        <v>45299</v>
      </c>
      <c r="D214" t="s">
        <v>252</v>
      </c>
      <c r="E214" t="s">
        <v>190</v>
      </c>
      <c r="F214">
        <v>4</v>
      </c>
      <c r="G214">
        <v>1591</v>
      </c>
      <c r="H214">
        <v>10</v>
      </c>
      <c r="I214" t="s">
        <v>19</v>
      </c>
      <c r="J214" t="s">
        <v>22</v>
      </c>
      <c r="K214" s="6">
        <f t="shared" si="12"/>
        <v>6364</v>
      </c>
      <c r="L214" s="6">
        <f t="shared" si="13"/>
        <v>-57276</v>
      </c>
      <c r="M214" s="6">
        <f>_xlfn.XLOOKUP(E214, Products!A:A, Products!E:E)</f>
        <v>273</v>
      </c>
      <c r="N214" s="6">
        <f t="shared" si="14"/>
        <v>1092</v>
      </c>
      <c r="O214" s="8">
        <f t="shared" si="15"/>
        <v>-58368</v>
      </c>
      <c r="Q214" s="8"/>
      <c r="R214" s="8"/>
    </row>
    <row r="215" spans="1:18">
      <c r="A215" s="4">
        <v>100546</v>
      </c>
      <c r="B215" s="1">
        <v>45321</v>
      </c>
      <c r="C215" s="1">
        <v>45297</v>
      </c>
      <c r="D215" t="s">
        <v>368</v>
      </c>
      <c r="E215" t="s">
        <v>334</v>
      </c>
      <c r="F215">
        <v>4</v>
      </c>
      <c r="G215">
        <v>1842</v>
      </c>
      <c r="H215">
        <v>0</v>
      </c>
      <c r="I215" t="s">
        <v>29</v>
      </c>
      <c r="J215" t="s">
        <v>16</v>
      </c>
      <c r="K215" s="6">
        <f t="shared" si="12"/>
        <v>7368</v>
      </c>
      <c r="L215" s="6">
        <f t="shared" si="13"/>
        <v>7368</v>
      </c>
      <c r="M215" s="6">
        <f>_xlfn.XLOOKUP(E215, Products!A:A, Products!E:E)</f>
        <v>93</v>
      </c>
      <c r="N215" s="6">
        <f t="shared" si="14"/>
        <v>372</v>
      </c>
      <c r="O215" s="8">
        <f t="shared" si="15"/>
        <v>6996</v>
      </c>
      <c r="Q215" s="8"/>
      <c r="R215" s="8"/>
    </row>
    <row r="216" spans="1:18">
      <c r="A216" s="4">
        <v>100305</v>
      </c>
      <c r="B216" s="1">
        <v>45319</v>
      </c>
      <c r="C216" s="1">
        <v>45298</v>
      </c>
      <c r="D216" t="s">
        <v>297</v>
      </c>
      <c r="E216" t="s">
        <v>298</v>
      </c>
      <c r="F216">
        <v>4</v>
      </c>
      <c r="G216">
        <v>1849</v>
      </c>
      <c r="H216">
        <v>0</v>
      </c>
      <c r="I216" t="s">
        <v>32</v>
      </c>
      <c r="J216" t="s">
        <v>13</v>
      </c>
      <c r="K216" s="6">
        <f t="shared" si="12"/>
        <v>7396</v>
      </c>
      <c r="L216" s="6">
        <f t="shared" si="13"/>
        <v>7396</v>
      </c>
      <c r="M216" s="6">
        <f>_xlfn.XLOOKUP(E216, Products!A:A, Products!E:E)</f>
        <v>171</v>
      </c>
      <c r="N216" s="6">
        <f t="shared" si="14"/>
        <v>684</v>
      </c>
      <c r="O216" s="8">
        <f t="shared" si="15"/>
        <v>6712</v>
      </c>
      <c r="Q216" s="8"/>
      <c r="R216" s="8"/>
    </row>
    <row r="217" spans="1:18">
      <c r="A217" s="4">
        <v>100593</v>
      </c>
      <c r="B217" s="1">
        <v>45319</v>
      </c>
      <c r="C217" s="1">
        <v>45297</v>
      </c>
      <c r="D217" t="s">
        <v>10</v>
      </c>
      <c r="E217" t="s">
        <v>138</v>
      </c>
      <c r="F217">
        <v>4</v>
      </c>
      <c r="G217">
        <v>560</v>
      </c>
      <c r="H217">
        <v>5</v>
      </c>
      <c r="I217" t="s">
        <v>12</v>
      </c>
      <c r="J217" t="s">
        <v>22</v>
      </c>
      <c r="K217" s="6">
        <f t="shared" si="12"/>
        <v>2240</v>
      </c>
      <c r="L217" s="6">
        <f t="shared" si="13"/>
        <v>-8960</v>
      </c>
      <c r="M217" s="6">
        <f>_xlfn.XLOOKUP(E217, Products!A:A, Products!E:E)</f>
        <v>186</v>
      </c>
      <c r="N217" s="6">
        <f t="shared" si="14"/>
        <v>744</v>
      </c>
      <c r="O217" s="8">
        <f t="shared" si="15"/>
        <v>-9704</v>
      </c>
      <c r="Q217" s="8"/>
      <c r="R217" s="8"/>
    </row>
    <row r="218" spans="1:18">
      <c r="A218" s="4">
        <v>100347</v>
      </c>
      <c r="B218" s="1">
        <v>45318</v>
      </c>
      <c r="C218" s="1">
        <v>45294</v>
      </c>
      <c r="D218" t="s">
        <v>305</v>
      </c>
      <c r="E218" t="s">
        <v>43</v>
      </c>
      <c r="F218">
        <v>4</v>
      </c>
      <c r="G218">
        <v>859</v>
      </c>
      <c r="H218">
        <v>10</v>
      </c>
      <c r="I218" t="s">
        <v>12</v>
      </c>
      <c r="J218" t="s">
        <v>16</v>
      </c>
      <c r="K218" s="6">
        <f t="shared" si="12"/>
        <v>3436</v>
      </c>
      <c r="L218" s="6">
        <f t="shared" si="13"/>
        <v>-30924</v>
      </c>
      <c r="M218" s="6">
        <f>_xlfn.XLOOKUP(E218, Products!A:A, Products!E:E)</f>
        <v>228</v>
      </c>
      <c r="N218" s="6">
        <f t="shared" si="14"/>
        <v>912</v>
      </c>
      <c r="O218" s="8">
        <f t="shared" si="15"/>
        <v>-31836</v>
      </c>
      <c r="Q218" s="8"/>
      <c r="R218" s="8"/>
    </row>
    <row r="219" spans="1:18">
      <c r="A219" s="4">
        <v>100815</v>
      </c>
      <c r="B219" s="1">
        <v>45318</v>
      </c>
      <c r="C219" s="1">
        <v>45296</v>
      </c>
      <c r="D219" t="s">
        <v>332</v>
      </c>
      <c r="E219" t="s">
        <v>152</v>
      </c>
      <c r="F219">
        <v>4</v>
      </c>
      <c r="G219">
        <v>1025</v>
      </c>
      <c r="H219">
        <v>0</v>
      </c>
      <c r="I219" t="s">
        <v>12</v>
      </c>
      <c r="J219" t="s">
        <v>26</v>
      </c>
      <c r="K219" s="6">
        <f t="shared" si="12"/>
        <v>4100</v>
      </c>
      <c r="L219" s="6">
        <f t="shared" si="13"/>
        <v>4100</v>
      </c>
      <c r="M219" s="6">
        <f>_xlfn.XLOOKUP(E219, Products!A:A, Products!E:E)</f>
        <v>272</v>
      </c>
      <c r="N219" s="6">
        <f t="shared" si="14"/>
        <v>1088</v>
      </c>
      <c r="O219" s="8">
        <f t="shared" si="15"/>
        <v>3012</v>
      </c>
      <c r="Q219" s="8"/>
      <c r="R219" s="8"/>
    </row>
    <row r="220" spans="1:18">
      <c r="A220" s="4">
        <v>100275</v>
      </c>
      <c r="B220" s="1">
        <v>45318</v>
      </c>
      <c r="C220" s="1">
        <v>45297</v>
      </c>
      <c r="D220" t="s">
        <v>286</v>
      </c>
      <c r="E220" t="s">
        <v>39</v>
      </c>
      <c r="F220">
        <v>4</v>
      </c>
      <c r="G220">
        <v>943</v>
      </c>
      <c r="H220">
        <v>5</v>
      </c>
      <c r="I220" t="s">
        <v>19</v>
      </c>
      <c r="J220" t="s">
        <v>26</v>
      </c>
      <c r="K220" s="6">
        <f t="shared" si="12"/>
        <v>3772</v>
      </c>
      <c r="L220" s="6">
        <f t="shared" si="13"/>
        <v>-15088</v>
      </c>
      <c r="M220" s="6">
        <f>_xlfn.XLOOKUP(E220, Products!A:A, Products!E:E)</f>
        <v>238</v>
      </c>
      <c r="N220" s="6">
        <f t="shared" si="14"/>
        <v>952</v>
      </c>
      <c r="O220" s="8">
        <f t="shared" si="15"/>
        <v>-16040</v>
      </c>
      <c r="Q220" s="8"/>
      <c r="R220" s="8"/>
    </row>
    <row r="221" spans="1:18">
      <c r="A221" s="4">
        <v>100781</v>
      </c>
      <c r="B221" s="1">
        <v>45318</v>
      </c>
      <c r="C221" s="1">
        <v>45301</v>
      </c>
      <c r="D221" t="s">
        <v>390</v>
      </c>
      <c r="E221" t="s">
        <v>31</v>
      </c>
      <c r="F221">
        <v>4</v>
      </c>
      <c r="G221">
        <v>841</v>
      </c>
      <c r="H221">
        <v>10</v>
      </c>
      <c r="I221" t="s">
        <v>12</v>
      </c>
      <c r="J221" t="s">
        <v>26</v>
      </c>
      <c r="K221" s="6">
        <f t="shared" si="12"/>
        <v>3364</v>
      </c>
      <c r="L221" s="6">
        <f t="shared" si="13"/>
        <v>-30276</v>
      </c>
      <c r="M221" s="6">
        <f>_xlfn.XLOOKUP(E221, Products!A:A, Products!E:E)</f>
        <v>187</v>
      </c>
      <c r="N221" s="6">
        <f t="shared" si="14"/>
        <v>748</v>
      </c>
      <c r="O221" s="8">
        <f t="shared" si="15"/>
        <v>-31024</v>
      </c>
      <c r="Q221" s="8"/>
      <c r="R221" s="8"/>
    </row>
    <row r="222" spans="1:18">
      <c r="A222" s="4">
        <v>100492</v>
      </c>
      <c r="B222" s="1">
        <v>45317</v>
      </c>
      <c r="C222" s="1">
        <v>45298</v>
      </c>
      <c r="D222" t="s">
        <v>360</v>
      </c>
      <c r="E222" t="s">
        <v>138</v>
      </c>
      <c r="F222">
        <v>4</v>
      </c>
      <c r="G222">
        <v>1164</v>
      </c>
      <c r="H222">
        <v>5</v>
      </c>
      <c r="I222" t="s">
        <v>32</v>
      </c>
      <c r="J222" t="s">
        <v>13</v>
      </c>
      <c r="K222" s="6">
        <f t="shared" si="12"/>
        <v>4656</v>
      </c>
      <c r="L222" s="6">
        <f t="shared" si="13"/>
        <v>-18624</v>
      </c>
      <c r="M222" s="6">
        <f>_xlfn.XLOOKUP(E222, Products!A:A, Products!E:E)</f>
        <v>186</v>
      </c>
      <c r="N222" s="6">
        <f t="shared" si="14"/>
        <v>744</v>
      </c>
      <c r="O222" s="8">
        <f t="shared" si="15"/>
        <v>-19368</v>
      </c>
      <c r="Q222" s="8"/>
      <c r="R222" s="8"/>
    </row>
    <row r="223" spans="1:18">
      <c r="A223" s="4">
        <v>100527</v>
      </c>
      <c r="B223" s="1">
        <v>45316</v>
      </c>
      <c r="C223" s="1">
        <v>45298</v>
      </c>
      <c r="D223" t="s">
        <v>259</v>
      </c>
      <c r="E223" t="s">
        <v>77</v>
      </c>
      <c r="F223">
        <v>4</v>
      </c>
      <c r="G223">
        <v>1984</v>
      </c>
      <c r="H223">
        <v>15</v>
      </c>
      <c r="I223" t="s">
        <v>12</v>
      </c>
      <c r="J223" t="s">
        <v>26</v>
      </c>
      <c r="K223" s="6">
        <f t="shared" si="12"/>
        <v>7936</v>
      </c>
      <c r="L223" s="6">
        <f t="shared" si="13"/>
        <v>-111104</v>
      </c>
      <c r="M223" s="6">
        <f>_xlfn.XLOOKUP(E223, Products!A:A, Products!E:E)</f>
        <v>94</v>
      </c>
      <c r="N223" s="6">
        <f t="shared" si="14"/>
        <v>376</v>
      </c>
      <c r="O223" s="8">
        <f t="shared" si="15"/>
        <v>-111480</v>
      </c>
      <c r="Q223" s="8"/>
      <c r="R223" s="8"/>
    </row>
    <row r="224" spans="1:18">
      <c r="A224" s="4">
        <v>100548</v>
      </c>
      <c r="B224" s="1">
        <v>45314</v>
      </c>
      <c r="C224" s="1">
        <v>45299</v>
      </c>
      <c r="D224" t="s">
        <v>276</v>
      </c>
      <c r="E224" t="s">
        <v>11</v>
      </c>
      <c r="F224">
        <v>4</v>
      </c>
      <c r="G224">
        <v>1848</v>
      </c>
      <c r="H224">
        <v>5</v>
      </c>
      <c r="I224" t="s">
        <v>32</v>
      </c>
      <c r="J224" t="s">
        <v>13</v>
      </c>
      <c r="K224" s="6">
        <f t="shared" si="12"/>
        <v>7392</v>
      </c>
      <c r="L224" s="6">
        <f t="shared" si="13"/>
        <v>-29568</v>
      </c>
      <c r="M224" s="6">
        <f>_xlfn.XLOOKUP(E224, Products!A:A, Products!E:E)</f>
        <v>144</v>
      </c>
      <c r="N224" s="6">
        <f t="shared" si="14"/>
        <v>576</v>
      </c>
      <c r="O224" s="8">
        <f t="shared" si="15"/>
        <v>-30144</v>
      </c>
      <c r="Q224" s="8"/>
      <c r="R224" s="8"/>
    </row>
    <row r="225" spans="1:18">
      <c r="A225" s="4">
        <v>100914</v>
      </c>
      <c r="B225" s="1">
        <v>45313</v>
      </c>
      <c r="C225" s="1">
        <v>45300</v>
      </c>
      <c r="D225" t="s">
        <v>124</v>
      </c>
      <c r="E225" t="s">
        <v>210</v>
      </c>
      <c r="F225">
        <v>4</v>
      </c>
      <c r="G225">
        <v>1210</v>
      </c>
      <c r="H225">
        <v>15</v>
      </c>
      <c r="I225" t="s">
        <v>12</v>
      </c>
      <c r="J225" t="s">
        <v>13</v>
      </c>
      <c r="K225" s="6">
        <f t="shared" si="12"/>
        <v>4840</v>
      </c>
      <c r="L225" s="6">
        <f t="shared" si="13"/>
        <v>-67760</v>
      </c>
      <c r="M225" s="6">
        <f>_xlfn.XLOOKUP(E225, Products!A:A, Products!E:E)</f>
        <v>135</v>
      </c>
      <c r="N225" s="6">
        <f t="shared" si="14"/>
        <v>540</v>
      </c>
      <c r="O225" s="8">
        <f t="shared" si="15"/>
        <v>-68300</v>
      </c>
      <c r="Q225" s="8"/>
      <c r="R225" s="8"/>
    </row>
    <row r="226" spans="1:18">
      <c r="A226" s="4">
        <v>100631</v>
      </c>
      <c r="B226" s="1">
        <v>45311</v>
      </c>
      <c r="C226" s="1">
        <v>45302</v>
      </c>
      <c r="D226" t="s">
        <v>88</v>
      </c>
      <c r="E226" t="s">
        <v>80</v>
      </c>
      <c r="F226">
        <v>4</v>
      </c>
      <c r="G226">
        <v>1812</v>
      </c>
      <c r="H226">
        <v>15</v>
      </c>
      <c r="I226" t="s">
        <v>12</v>
      </c>
      <c r="J226" t="s">
        <v>22</v>
      </c>
      <c r="K226" s="6">
        <f t="shared" si="12"/>
        <v>7248</v>
      </c>
      <c r="L226" s="6">
        <f t="shared" si="13"/>
        <v>-101472</v>
      </c>
      <c r="M226" s="6">
        <f>_xlfn.XLOOKUP(E226, Products!A:A, Products!E:E)</f>
        <v>71</v>
      </c>
      <c r="N226" s="6">
        <f t="shared" si="14"/>
        <v>284</v>
      </c>
      <c r="O226" s="8">
        <f t="shared" si="15"/>
        <v>-101756</v>
      </c>
      <c r="Q226" s="8"/>
      <c r="R226" s="8"/>
    </row>
    <row r="227" spans="1:18">
      <c r="A227" s="4">
        <v>100652</v>
      </c>
      <c r="B227" s="1">
        <v>45309</v>
      </c>
      <c r="C227" s="1">
        <v>45300</v>
      </c>
      <c r="D227" t="s">
        <v>38</v>
      </c>
      <c r="E227" t="s">
        <v>298</v>
      </c>
      <c r="F227">
        <v>4</v>
      </c>
      <c r="G227">
        <v>1829</v>
      </c>
      <c r="H227">
        <v>15</v>
      </c>
      <c r="I227" t="s">
        <v>12</v>
      </c>
      <c r="J227" t="s">
        <v>16</v>
      </c>
      <c r="K227" s="6">
        <f t="shared" si="12"/>
        <v>7316</v>
      </c>
      <c r="L227" s="6">
        <f t="shared" si="13"/>
        <v>-102424</v>
      </c>
      <c r="M227" s="6">
        <f>_xlfn.XLOOKUP(E227, Products!A:A, Products!E:E)</f>
        <v>171</v>
      </c>
      <c r="N227" s="6">
        <f t="shared" si="14"/>
        <v>684</v>
      </c>
      <c r="O227" s="8">
        <f t="shared" si="15"/>
        <v>-103108</v>
      </c>
      <c r="Q227" s="8"/>
      <c r="R227" s="8"/>
    </row>
    <row r="228" spans="1:18">
      <c r="A228" s="4">
        <v>100819</v>
      </c>
      <c r="B228" s="1">
        <v>45308</v>
      </c>
      <c r="C228" s="1">
        <v>45295</v>
      </c>
      <c r="D228" t="s">
        <v>297</v>
      </c>
      <c r="E228" t="s">
        <v>61</v>
      </c>
      <c r="F228">
        <v>4</v>
      </c>
      <c r="G228">
        <v>1630</v>
      </c>
      <c r="H228">
        <v>5</v>
      </c>
      <c r="I228" t="s">
        <v>32</v>
      </c>
      <c r="J228" t="s">
        <v>16</v>
      </c>
      <c r="K228" s="6">
        <f t="shared" si="12"/>
        <v>6520</v>
      </c>
      <c r="L228" s="6">
        <f t="shared" si="13"/>
        <v>-26080</v>
      </c>
      <c r="M228" s="6">
        <f>_xlfn.XLOOKUP(E228, Products!A:A, Products!E:E)</f>
        <v>65</v>
      </c>
      <c r="N228" s="6">
        <f t="shared" si="14"/>
        <v>260</v>
      </c>
      <c r="O228" s="8">
        <f t="shared" si="15"/>
        <v>-26340</v>
      </c>
      <c r="Q228" s="8"/>
      <c r="R228" s="8"/>
    </row>
    <row r="229" spans="1:18">
      <c r="A229" s="4">
        <v>100853</v>
      </c>
      <c r="B229" s="1">
        <v>45308</v>
      </c>
      <c r="C229" s="1">
        <v>45295</v>
      </c>
      <c r="D229" t="s">
        <v>388</v>
      </c>
      <c r="E229" t="s">
        <v>236</v>
      </c>
      <c r="F229">
        <v>4</v>
      </c>
      <c r="G229">
        <v>1725</v>
      </c>
      <c r="H229">
        <v>15</v>
      </c>
      <c r="I229" t="s">
        <v>19</v>
      </c>
      <c r="J229" t="s">
        <v>13</v>
      </c>
      <c r="K229" s="6">
        <f t="shared" si="12"/>
        <v>6900</v>
      </c>
      <c r="L229" s="6">
        <f t="shared" si="13"/>
        <v>-96600</v>
      </c>
      <c r="M229" s="6">
        <f>_xlfn.XLOOKUP(E229, Products!A:A, Products!E:E)</f>
        <v>120</v>
      </c>
      <c r="N229" s="6">
        <f t="shared" si="14"/>
        <v>480</v>
      </c>
      <c r="O229" s="8">
        <f t="shared" si="15"/>
        <v>-97080</v>
      </c>
      <c r="Q229" s="8"/>
      <c r="R229" s="8"/>
    </row>
    <row r="230" spans="1:18">
      <c r="A230" s="4">
        <v>100003</v>
      </c>
      <c r="B230" s="1">
        <v>45307</v>
      </c>
      <c r="C230" s="1">
        <v>45295</v>
      </c>
      <c r="D230" t="s">
        <v>20</v>
      </c>
      <c r="E230" t="s">
        <v>21</v>
      </c>
      <c r="F230">
        <v>4</v>
      </c>
      <c r="G230">
        <v>1512</v>
      </c>
      <c r="H230">
        <v>10</v>
      </c>
      <c r="I230" t="s">
        <v>12</v>
      </c>
      <c r="J230" t="s">
        <v>22</v>
      </c>
      <c r="K230" s="6">
        <f t="shared" si="12"/>
        <v>6048</v>
      </c>
      <c r="L230" s="6">
        <f t="shared" si="13"/>
        <v>-54432</v>
      </c>
      <c r="M230" s="6">
        <f>_xlfn.XLOOKUP(E230, Products!A:A, Products!E:E)</f>
        <v>279</v>
      </c>
      <c r="N230" s="6">
        <f t="shared" si="14"/>
        <v>1116</v>
      </c>
      <c r="O230" s="8">
        <f t="shared" si="15"/>
        <v>-55548</v>
      </c>
      <c r="Q230" s="8"/>
      <c r="R230" s="8"/>
    </row>
    <row r="231" spans="1:18">
      <c r="A231" s="4">
        <v>100980</v>
      </c>
      <c r="B231" s="1">
        <v>45307</v>
      </c>
      <c r="C231" s="1">
        <v>45294</v>
      </c>
      <c r="D231" t="s">
        <v>40</v>
      </c>
      <c r="E231" t="s">
        <v>367</v>
      </c>
      <c r="F231">
        <v>4</v>
      </c>
      <c r="G231">
        <v>1988</v>
      </c>
      <c r="H231">
        <v>0</v>
      </c>
      <c r="I231" t="s">
        <v>29</v>
      </c>
      <c r="J231" t="s">
        <v>16</v>
      </c>
      <c r="K231" s="6">
        <f t="shared" si="12"/>
        <v>7952</v>
      </c>
      <c r="L231" s="6">
        <f t="shared" si="13"/>
        <v>7952</v>
      </c>
      <c r="M231" s="6">
        <f>_xlfn.XLOOKUP(E231, Products!A:A, Products!E:E)</f>
        <v>158</v>
      </c>
      <c r="N231" s="6">
        <f t="shared" si="14"/>
        <v>632</v>
      </c>
      <c r="O231" s="8">
        <f t="shared" si="15"/>
        <v>7320</v>
      </c>
      <c r="Q231" s="8"/>
      <c r="R231" s="8"/>
    </row>
    <row r="232" spans="1:18">
      <c r="A232" s="4">
        <v>100469</v>
      </c>
      <c r="B232" s="1">
        <v>45306</v>
      </c>
      <c r="C232" s="1">
        <v>45294</v>
      </c>
      <c r="D232" t="s">
        <v>213</v>
      </c>
      <c r="E232" t="s">
        <v>63</v>
      </c>
      <c r="F232">
        <v>4</v>
      </c>
      <c r="G232">
        <v>1674</v>
      </c>
      <c r="H232">
        <v>0</v>
      </c>
      <c r="I232" t="s">
        <v>19</v>
      </c>
      <c r="J232" t="s">
        <v>13</v>
      </c>
      <c r="K232" s="6">
        <f t="shared" si="12"/>
        <v>6696</v>
      </c>
      <c r="L232" s="6">
        <f t="shared" si="13"/>
        <v>6696</v>
      </c>
      <c r="M232" s="6">
        <f>_xlfn.XLOOKUP(E232, Products!A:A, Products!E:E)</f>
        <v>294</v>
      </c>
      <c r="N232" s="6">
        <f t="shared" si="14"/>
        <v>1176</v>
      </c>
      <c r="O232" s="8">
        <f t="shared" si="15"/>
        <v>5520</v>
      </c>
      <c r="Q232" s="8"/>
      <c r="R232" s="8"/>
    </row>
    <row r="233" spans="1:18">
      <c r="A233" s="4">
        <v>100848</v>
      </c>
      <c r="B233" s="1">
        <v>45305</v>
      </c>
      <c r="C233" s="1">
        <v>45295</v>
      </c>
      <c r="D233" t="s">
        <v>404</v>
      </c>
      <c r="E233" t="s">
        <v>71</v>
      </c>
      <c r="F233">
        <v>4</v>
      </c>
      <c r="G233">
        <v>1974</v>
      </c>
      <c r="H233">
        <v>0</v>
      </c>
      <c r="I233" t="s">
        <v>29</v>
      </c>
      <c r="J233" t="s">
        <v>13</v>
      </c>
      <c r="K233" s="6">
        <f t="shared" si="12"/>
        <v>7896</v>
      </c>
      <c r="L233" s="6">
        <f t="shared" si="13"/>
        <v>7896</v>
      </c>
      <c r="M233" s="6">
        <f>_xlfn.XLOOKUP(E233, Products!A:A, Products!E:E)</f>
        <v>126</v>
      </c>
      <c r="N233" s="6">
        <f t="shared" si="14"/>
        <v>504</v>
      </c>
      <c r="O233" s="8">
        <f t="shared" si="15"/>
        <v>7392</v>
      </c>
      <c r="Q233" s="8"/>
      <c r="R233" s="8"/>
    </row>
    <row r="234" spans="1:18">
      <c r="A234" s="4">
        <v>100930</v>
      </c>
      <c r="B234" s="1">
        <v>45305</v>
      </c>
      <c r="C234" s="1">
        <v>45299</v>
      </c>
      <c r="D234" t="s">
        <v>406</v>
      </c>
      <c r="E234" t="s">
        <v>298</v>
      </c>
      <c r="F234">
        <v>4</v>
      </c>
      <c r="G234">
        <v>1852</v>
      </c>
      <c r="H234">
        <v>5</v>
      </c>
      <c r="I234" t="s">
        <v>32</v>
      </c>
      <c r="J234" t="s">
        <v>22</v>
      </c>
      <c r="K234" s="6">
        <f t="shared" si="12"/>
        <v>7408</v>
      </c>
      <c r="L234" s="6">
        <f t="shared" si="13"/>
        <v>-29632</v>
      </c>
      <c r="M234" s="6">
        <f>_xlfn.XLOOKUP(E234, Products!A:A, Products!E:E)</f>
        <v>171</v>
      </c>
      <c r="N234" s="6">
        <f t="shared" si="14"/>
        <v>684</v>
      </c>
      <c r="O234" s="8">
        <f t="shared" si="15"/>
        <v>-30316</v>
      </c>
      <c r="Q234" s="8"/>
      <c r="R234" s="8"/>
    </row>
    <row r="235" spans="1:18">
      <c r="A235" s="4">
        <v>100061</v>
      </c>
      <c r="B235" s="1">
        <v>45303</v>
      </c>
      <c r="C235" s="1">
        <v>45296</v>
      </c>
      <c r="D235" t="s">
        <v>119</v>
      </c>
      <c r="E235" t="s">
        <v>89</v>
      </c>
      <c r="F235">
        <v>4</v>
      </c>
      <c r="G235">
        <v>1055</v>
      </c>
      <c r="H235">
        <v>10</v>
      </c>
      <c r="I235" t="s">
        <v>19</v>
      </c>
      <c r="J235" t="s">
        <v>16</v>
      </c>
      <c r="K235" s="6">
        <f t="shared" si="12"/>
        <v>4220</v>
      </c>
      <c r="L235" s="6">
        <f t="shared" si="13"/>
        <v>-37980</v>
      </c>
      <c r="M235" s="6">
        <f>_xlfn.XLOOKUP(E235, Products!A:A, Products!E:E)</f>
        <v>184</v>
      </c>
      <c r="N235" s="6">
        <f t="shared" si="14"/>
        <v>736</v>
      </c>
      <c r="O235" s="8">
        <f t="shared" si="15"/>
        <v>-38716</v>
      </c>
      <c r="Q235" s="8"/>
      <c r="R235" s="8"/>
    </row>
    <row r="236" spans="1:18">
      <c r="A236" s="4">
        <v>100221</v>
      </c>
      <c r="B236" s="1">
        <v>45301</v>
      </c>
      <c r="C236" s="1">
        <v>45302</v>
      </c>
      <c r="D236" t="s">
        <v>96</v>
      </c>
      <c r="E236" t="s">
        <v>138</v>
      </c>
      <c r="F236">
        <v>4</v>
      </c>
      <c r="G236">
        <v>1257</v>
      </c>
      <c r="H236">
        <v>10</v>
      </c>
      <c r="I236" t="s">
        <v>32</v>
      </c>
      <c r="J236" t="s">
        <v>13</v>
      </c>
      <c r="K236" s="6">
        <f t="shared" si="12"/>
        <v>5028</v>
      </c>
      <c r="L236" s="6">
        <f t="shared" si="13"/>
        <v>-45252</v>
      </c>
      <c r="M236" s="6">
        <f>_xlfn.XLOOKUP(E236, Products!A:A, Products!E:E)</f>
        <v>186</v>
      </c>
      <c r="N236" s="6">
        <f t="shared" si="14"/>
        <v>744</v>
      </c>
      <c r="O236" s="8">
        <f t="shared" si="15"/>
        <v>-45996</v>
      </c>
      <c r="Q236" s="8"/>
      <c r="R236" s="8"/>
    </row>
    <row r="237" spans="1:18">
      <c r="A237" s="4">
        <v>100261</v>
      </c>
      <c r="B237" s="1">
        <v>45301</v>
      </c>
      <c r="C237" s="1">
        <v>45302</v>
      </c>
      <c r="D237" t="s">
        <v>225</v>
      </c>
      <c r="E237" t="s">
        <v>59</v>
      </c>
      <c r="F237">
        <v>4</v>
      </c>
      <c r="G237">
        <v>1579</v>
      </c>
      <c r="H237">
        <v>0</v>
      </c>
      <c r="I237" t="s">
        <v>29</v>
      </c>
      <c r="J237" t="s">
        <v>26</v>
      </c>
      <c r="K237" s="6">
        <f t="shared" si="12"/>
        <v>6316</v>
      </c>
      <c r="L237" s="6">
        <f t="shared" si="13"/>
        <v>6316</v>
      </c>
      <c r="M237" s="6">
        <f>_xlfn.XLOOKUP(E237, Products!A:A, Products!E:E)</f>
        <v>116</v>
      </c>
      <c r="N237" s="6">
        <f t="shared" si="14"/>
        <v>464</v>
      </c>
      <c r="O237" s="8">
        <f t="shared" si="15"/>
        <v>5852</v>
      </c>
      <c r="Q237" s="8"/>
      <c r="R237" s="8"/>
    </row>
    <row r="238" spans="1:18">
      <c r="A238" s="4">
        <v>100791</v>
      </c>
      <c r="B238" s="1">
        <v>45301</v>
      </c>
      <c r="C238" s="1">
        <v>45296</v>
      </c>
      <c r="D238" t="s">
        <v>194</v>
      </c>
      <c r="E238" t="s">
        <v>57</v>
      </c>
      <c r="F238">
        <v>4</v>
      </c>
      <c r="G238">
        <v>834</v>
      </c>
      <c r="H238">
        <v>5</v>
      </c>
      <c r="I238" t="s">
        <v>19</v>
      </c>
      <c r="J238" t="s">
        <v>13</v>
      </c>
      <c r="K238" s="6">
        <f t="shared" si="12"/>
        <v>3336</v>
      </c>
      <c r="L238" s="6">
        <f t="shared" si="13"/>
        <v>-13344</v>
      </c>
      <c r="M238" s="6">
        <f>_xlfn.XLOOKUP(E238, Products!A:A, Products!E:E)</f>
        <v>270</v>
      </c>
      <c r="N238" s="6">
        <f t="shared" si="14"/>
        <v>1080</v>
      </c>
      <c r="O238" s="8">
        <f t="shared" si="15"/>
        <v>-14424</v>
      </c>
      <c r="Q238" s="8"/>
      <c r="R238" s="8"/>
    </row>
    <row r="239" spans="1:18">
      <c r="A239" s="4">
        <v>100314</v>
      </c>
      <c r="B239" s="1">
        <v>45298</v>
      </c>
      <c r="C239" s="1">
        <v>45295</v>
      </c>
      <c r="D239" t="s">
        <v>303</v>
      </c>
      <c r="E239" t="s">
        <v>28</v>
      </c>
      <c r="F239">
        <v>4</v>
      </c>
      <c r="G239">
        <v>613</v>
      </c>
      <c r="H239">
        <v>5</v>
      </c>
      <c r="I239" t="s">
        <v>12</v>
      </c>
      <c r="J239" t="s">
        <v>16</v>
      </c>
      <c r="K239" s="6">
        <f t="shared" si="12"/>
        <v>2452</v>
      </c>
      <c r="L239" s="6">
        <f t="shared" si="13"/>
        <v>-9808</v>
      </c>
      <c r="M239" s="6">
        <f>_xlfn.XLOOKUP(E239, Products!A:A, Products!E:E)</f>
        <v>160</v>
      </c>
      <c r="N239" s="6">
        <f t="shared" si="14"/>
        <v>640</v>
      </c>
      <c r="O239" s="8">
        <f t="shared" si="15"/>
        <v>-10448</v>
      </c>
      <c r="Q239" s="8"/>
      <c r="R239" s="8"/>
    </row>
    <row r="240" spans="1:18">
      <c r="A240" s="4">
        <v>100989</v>
      </c>
      <c r="B240" s="1">
        <v>45297</v>
      </c>
      <c r="C240" s="1">
        <v>45299</v>
      </c>
      <c r="D240" t="s">
        <v>96</v>
      </c>
      <c r="E240" t="s">
        <v>197</v>
      </c>
      <c r="F240">
        <v>4</v>
      </c>
      <c r="G240">
        <v>1089</v>
      </c>
      <c r="H240">
        <v>10</v>
      </c>
      <c r="I240" t="s">
        <v>19</v>
      </c>
      <c r="J240" t="s">
        <v>22</v>
      </c>
      <c r="K240" s="6">
        <f t="shared" si="12"/>
        <v>4356</v>
      </c>
      <c r="L240" s="6">
        <f t="shared" si="13"/>
        <v>-39204</v>
      </c>
      <c r="M240" s="6">
        <f>_xlfn.XLOOKUP(E240, Products!A:A, Products!E:E)</f>
        <v>236</v>
      </c>
      <c r="N240" s="6">
        <f t="shared" si="14"/>
        <v>944</v>
      </c>
      <c r="O240" s="8">
        <f t="shared" si="15"/>
        <v>-40148</v>
      </c>
      <c r="Q240" s="8"/>
      <c r="R240" s="8"/>
    </row>
    <row r="241" spans="1:18">
      <c r="A241" s="4">
        <v>100690</v>
      </c>
      <c r="B241" s="1">
        <v>45296</v>
      </c>
      <c r="C241" s="1">
        <v>45302</v>
      </c>
      <c r="D241" t="s">
        <v>257</v>
      </c>
      <c r="E241" t="s">
        <v>50</v>
      </c>
      <c r="F241">
        <v>4</v>
      </c>
      <c r="G241">
        <v>1139</v>
      </c>
      <c r="H241">
        <v>5</v>
      </c>
      <c r="I241" t="s">
        <v>19</v>
      </c>
      <c r="J241" t="s">
        <v>16</v>
      </c>
      <c r="K241" s="6">
        <f t="shared" si="12"/>
        <v>4556</v>
      </c>
      <c r="L241" s="6">
        <f t="shared" si="13"/>
        <v>-18224</v>
      </c>
      <c r="M241" s="6">
        <f>_xlfn.XLOOKUP(E241, Products!A:A, Products!E:E)</f>
        <v>218</v>
      </c>
      <c r="N241" s="6">
        <f t="shared" si="14"/>
        <v>872</v>
      </c>
      <c r="O241" s="8">
        <f t="shared" si="15"/>
        <v>-19096</v>
      </c>
      <c r="Q241" s="8"/>
      <c r="R241" s="8"/>
    </row>
    <row r="242" spans="1:18">
      <c r="A242" s="4">
        <v>100952</v>
      </c>
      <c r="B242" s="1">
        <v>45294</v>
      </c>
      <c r="C242" s="1">
        <v>45299</v>
      </c>
      <c r="D242" t="s">
        <v>184</v>
      </c>
      <c r="E242" t="s">
        <v>236</v>
      </c>
      <c r="F242">
        <v>4</v>
      </c>
      <c r="G242">
        <v>1452</v>
      </c>
      <c r="H242">
        <v>5</v>
      </c>
      <c r="I242" t="s">
        <v>32</v>
      </c>
      <c r="J242" t="s">
        <v>22</v>
      </c>
      <c r="K242" s="6">
        <f t="shared" si="12"/>
        <v>5808</v>
      </c>
      <c r="L242" s="6">
        <f t="shared" si="13"/>
        <v>-23232</v>
      </c>
      <c r="M242" s="6">
        <f>_xlfn.XLOOKUP(E242, Products!A:A, Products!E:E)</f>
        <v>120</v>
      </c>
      <c r="N242" s="6">
        <f t="shared" si="14"/>
        <v>480</v>
      </c>
      <c r="O242" s="8">
        <f t="shared" si="15"/>
        <v>-23712</v>
      </c>
      <c r="Q242" s="8"/>
      <c r="R242" s="8"/>
    </row>
    <row r="243" spans="1:18">
      <c r="A243" s="4">
        <v>100338</v>
      </c>
      <c r="B243" s="1">
        <v>45292</v>
      </c>
      <c r="C243" s="1">
        <v>45302</v>
      </c>
      <c r="D243" t="s">
        <v>313</v>
      </c>
      <c r="E243" t="s">
        <v>24</v>
      </c>
      <c r="F243">
        <v>4</v>
      </c>
      <c r="G243">
        <v>695</v>
      </c>
      <c r="H243">
        <v>15</v>
      </c>
      <c r="I243" t="s">
        <v>32</v>
      </c>
      <c r="J243" t="s">
        <v>26</v>
      </c>
      <c r="K243" s="6">
        <f t="shared" si="12"/>
        <v>2780</v>
      </c>
      <c r="L243" s="6">
        <f t="shared" si="13"/>
        <v>-38920</v>
      </c>
      <c r="M243" s="6">
        <f>_xlfn.XLOOKUP(E243, Products!A:A, Products!E:E)</f>
        <v>105</v>
      </c>
      <c r="N243" s="6">
        <f t="shared" si="14"/>
        <v>420</v>
      </c>
      <c r="O243" s="8">
        <f t="shared" si="15"/>
        <v>-39340</v>
      </c>
      <c r="Q243" s="8"/>
      <c r="R243" s="8"/>
    </row>
    <row r="244" spans="1:18">
      <c r="A244" s="4">
        <v>100181</v>
      </c>
      <c r="B244" s="1">
        <v>45653</v>
      </c>
      <c r="C244" s="1">
        <v>45300</v>
      </c>
      <c r="D244" t="s">
        <v>232</v>
      </c>
      <c r="E244" t="s">
        <v>63</v>
      </c>
      <c r="F244">
        <v>3</v>
      </c>
      <c r="G244">
        <v>1153</v>
      </c>
      <c r="H244">
        <v>15</v>
      </c>
      <c r="I244" t="s">
        <v>12</v>
      </c>
      <c r="J244" t="s">
        <v>26</v>
      </c>
      <c r="K244" s="6">
        <f t="shared" si="12"/>
        <v>3459</v>
      </c>
      <c r="L244" s="6">
        <f t="shared" si="13"/>
        <v>-48426</v>
      </c>
      <c r="M244" s="6">
        <f>_xlfn.XLOOKUP(E244, Products!A:A, Products!E:E)</f>
        <v>294</v>
      </c>
      <c r="N244" s="6">
        <f t="shared" si="14"/>
        <v>882</v>
      </c>
      <c r="O244" s="8">
        <f t="shared" si="15"/>
        <v>-49308</v>
      </c>
      <c r="Q244" s="8"/>
      <c r="R244" s="8"/>
    </row>
    <row r="245" spans="1:18">
      <c r="A245" s="4">
        <v>100044</v>
      </c>
      <c r="B245" s="1">
        <v>45651</v>
      </c>
      <c r="C245" s="1">
        <v>45302</v>
      </c>
      <c r="D245" t="s">
        <v>94</v>
      </c>
      <c r="E245" t="s">
        <v>95</v>
      </c>
      <c r="F245">
        <v>3</v>
      </c>
      <c r="G245">
        <v>1235</v>
      </c>
      <c r="H245">
        <v>15</v>
      </c>
      <c r="I245" t="s">
        <v>29</v>
      </c>
      <c r="J245" t="s">
        <v>26</v>
      </c>
      <c r="K245" s="6">
        <f t="shared" si="12"/>
        <v>3705</v>
      </c>
      <c r="L245" s="6">
        <f t="shared" si="13"/>
        <v>-51870</v>
      </c>
      <c r="M245" s="6">
        <f>_xlfn.XLOOKUP(E245, Products!A:A, Products!E:E)</f>
        <v>113</v>
      </c>
      <c r="N245" s="6">
        <f t="shared" si="14"/>
        <v>339</v>
      </c>
      <c r="O245" s="8">
        <f t="shared" si="15"/>
        <v>-52209</v>
      </c>
      <c r="Q245" s="8"/>
      <c r="R245" s="8"/>
    </row>
    <row r="246" spans="1:18">
      <c r="A246" s="4">
        <v>100685</v>
      </c>
      <c r="B246" s="1">
        <v>45650</v>
      </c>
      <c r="C246" s="1">
        <v>45300</v>
      </c>
      <c r="D246" t="s">
        <v>378</v>
      </c>
      <c r="E246" t="s">
        <v>180</v>
      </c>
      <c r="F246">
        <v>3</v>
      </c>
      <c r="G246">
        <v>1527</v>
      </c>
      <c r="H246">
        <v>15</v>
      </c>
      <c r="I246" t="s">
        <v>29</v>
      </c>
      <c r="J246" t="s">
        <v>22</v>
      </c>
      <c r="K246" s="6">
        <f t="shared" si="12"/>
        <v>4581</v>
      </c>
      <c r="L246" s="6">
        <f t="shared" si="13"/>
        <v>-64134</v>
      </c>
      <c r="M246" s="6">
        <f>_xlfn.XLOOKUP(E246, Products!A:A, Products!E:E)</f>
        <v>81</v>
      </c>
      <c r="N246" s="6">
        <f t="shared" si="14"/>
        <v>243</v>
      </c>
      <c r="O246" s="8">
        <f t="shared" si="15"/>
        <v>-64377</v>
      </c>
      <c r="Q246" s="8"/>
      <c r="R246" s="8"/>
    </row>
    <row r="247" spans="1:18">
      <c r="A247" s="4">
        <v>100006</v>
      </c>
      <c r="B247" s="1">
        <v>45650</v>
      </c>
      <c r="C247" s="1">
        <v>45301</v>
      </c>
      <c r="D247" t="s">
        <v>27</v>
      </c>
      <c r="E247" t="s">
        <v>28</v>
      </c>
      <c r="F247">
        <v>3</v>
      </c>
      <c r="G247">
        <v>1999</v>
      </c>
      <c r="H247">
        <v>0</v>
      </c>
      <c r="I247" t="s">
        <v>29</v>
      </c>
      <c r="J247" t="s">
        <v>22</v>
      </c>
      <c r="K247" s="6">
        <f t="shared" si="12"/>
        <v>5997</v>
      </c>
      <c r="L247" s="6">
        <f t="shared" si="13"/>
        <v>5997</v>
      </c>
      <c r="M247" s="6">
        <f>_xlfn.XLOOKUP(E247, Products!A:A, Products!E:E)</f>
        <v>160</v>
      </c>
      <c r="N247" s="6">
        <f t="shared" si="14"/>
        <v>480</v>
      </c>
      <c r="O247" s="8">
        <f t="shared" si="15"/>
        <v>5517</v>
      </c>
      <c r="Q247" s="8"/>
      <c r="R247" s="8"/>
    </row>
    <row r="248" spans="1:18">
      <c r="A248" s="4">
        <v>100663</v>
      </c>
      <c r="B248" s="1">
        <v>45646</v>
      </c>
      <c r="C248" s="1">
        <v>45295</v>
      </c>
      <c r="D248" t="s">
        <v>329</v>
      </c>
      <c r="E248" t="s">
        <v>31</v>
      </c>
      <c r="F248">
        <v>3</v>
      </c>
      <c r="G248">
        <v>1165</v>
      </c>
      <c r="H248">
        <v>5</v>
      </c>
      <c r="I248" t="s">
        <v>19</v>
      </c>
      <c r="J248" t="s">
        <v>22</v>
      </c>
      <c r="K248" s="6">
        <f t="shared" si="12"/>
        <v>3495</v>
      </c>
      <c r="L248" s="6">
        <f t="shared" si="13"/>
        <v>-13980</v>
      </c>
      <c r="M248" s="6">
        <f>_xlfn.XLOOKUP(E248, Products!A:A, Products!E:E)</f>
        <v>187</v>
      </c>
      <c r="N248" s="6">
        <f t="shared" si="14"/>
        <v>561</v>
      </c>
      <c r="O248" s="8">
        <f t="shared" si="15"/>
        <v>-14541</v>
      </c>
      <c r="Q248" s="8"/>
      <c r="R248" s="8"/>
    </row>
    <row r="249" spans="1:18">
      <c r="A249" s="4">
        <v>100412</v>
      </c>
      <c r="B249" s="1">
        <v>45645</v>
      </c>
      <c r="C249" s="1">
        <v>45295</v>
      </c>
      <c r="D249" t="s">
        <v>340</v>
      </c>
      <c r="E249" t="s">
        <v>238</v>
      </c>
      <c r="F249">
        <v>3</v>
      </c>
      <c r="G249">
        <v>1829</v>
      </c>
      <c r="H249">
        <v>10</v>
      </c>
      <c r="I249" t="s">
        <v>19</v>
      </c>
      <c r="J249" t="s">
        <v>13</v>
      </c>
      <c r="K249" s="6">
        <f t="shared" si="12"/>
        <v>5487</v>
      </c>
      <c r="L249" s="6">
        <f t="shared" si="13"/>
        <v>-49383</v>
      </c>
      <c r="M249" s="6">
        <f>_xlfn.XLOOKUP(E249, Products!A:A, Products!E:E)</f>
        <v>265</v>
      </c>
      <c r="N249" s="6">
        <f t="shared" si="14"/>
        <v>795</v>
      </c>
      <c r="O249" s="8">
        <f t="shared" si="15"/>
        <v>-50178</v>
      </c>
      <c r="Q249" s="8"/>
      <c r="R249" s="8"/>
    </row>
    <row r="250" spans="1:18">
      <c r="A250" s="4">
        <v>100767</v>
      </c>
      <c r="B250" s="1">
        <v>45645</v>
      </c>
      <c r="C250" s="1">
        <v>45301</v>
      </c>
      <c r="D250" t="s">
        <v>272</v>
      </c>
      <c r="E250" t="s">
        <v>65</v>
      </c>
      <c r="F250">
        <v>3</v>
      </c>
      <c r="G250">
        <v>1253</v>
      </c>
      <c r="H250">
        <v>0</v>
      </c>
      <c r="I250" t="s">
        <v>32</v>
      </c>
      <c r="J250" t="s">
        <v>13</v>
      </c>
      <c r="K250" s="6">
        <f t="shared" si="12"/>
        <v>3759</v>
      </c>
      <c r="L250" s="6">
        <f t="shared" si="13"/>
        <v>3759</v>
      </c>
      <c r="M250" s="6">
        <f>_xlfn.XLOOKUP(E250, Products!A:A, Products!E:E)</f>
        <v>213</v>
      </c>
      <c r="N250" s="6">
        <f t="shared" si="14"/>
        <v>639</v>
      </c>
      <c r="O250" s="8">
        <f t="shared" si="15"/>
        <v>3120</v>
      </c>
      <c r="Q250" s="8"/>
      <c r="R250" s="8"/>
    </row>
    <row r="251" spans="1:18">
      <c r="A251" s="4">
        <v>100145</v>
      </c>
      <c r="B251" s="1">
        <v>45644</v>
      </c>
      <c r="C251" s="1">
        <v>45301</v>
      </c>
      <c r="D251" t="s">
        <v>211</v>
      </c>
      <c r="E251" t="s">
        <v>212</v>
      </c>
      <c r="F251">
        <v>3</v>
      </c>
      <c r="G251">
        <v>1587</v>
      </c>
      <c r="H251">
        <v>15</v>
      </c>
      <c r="I251" t="s">
        <v>32</v>
      </c>
      <c r="J251" t="s">
        <v>13</v>
      </c>
      <c r="K251" s="6">
        <f t="shared" si="12"/>
        <v>4761</v>
      </c>
      <c r="L251" s="6">
        <f t="shared" si="13"/>
        <v>-66654</v>
      </c>
      <c r="M251" s="6">
        <f>_xlfn.XLOOKUP(E251, Products!A:A, Products!E:E)</f>
        <v>196</v>
      </c>
      <c r="N251" s="6">
        <f t="shared" si="14"/>
        <v>588</v>
      </c>
      <c r="O251" s="8">
        <f t="shared" si="15"/>
        <v>-67242</v>
      </c>
      <c r="Q251" s="8"/>
      <c r="R251" s="8"/>
    </row>
    <row r="252" spans="1:18">
      <c r="A252" s="4">
        <v>100830</v>
      </c>
      <c r="B252" s="1">
        <v>45641</v>
      </c>
      <c r="C252" s="1">
        <v>45297</v>
      </c>
      <c r="D252" t="s">
        <v>222</v>
      </c>
      <c r="E252" t="s">
        <v>69</v>
      </c>
      <c r="F252">
        <v>3</v>
      </c>
      <c r="G252">
        <v>1770</v>
      </c>
      <c r="H252">
        <v>0</v>
      </c>
      <c r="I252" t="s">
        <v>19</v>
      </c>
      <c r="J252" t="s">
        <v>16</v>
      </c>
      <c r="K252" s="6">
        <f t="shared" si="12"/>
        <v>5310</v>
      </c>
      <c r="L252" s="6">
        <f t="shared" si="13"/>
        <v>5310</v>
      </c>
      <c r="M252" s="6">
        <f>_xlfn.XLOOKUP(E252, Products!A:A, Products!E:E)</f>
        <v>82</v>
      </c>
      <c r="N252" s="6">
        <f t="shared" si="14"/>
        <v>246</v>
      </c>
      <c r="O252" s="8">
        <f t="shared" si="15"/>
        <v>5064</v>
      </c>
      <c r="Q252" s="8"/>
      <c r="R252" s="8"/>
    </row>
    <row r="253" spans="1:18">
      <c r="A253" s="4">
        <v>100510</v>
      </c>
      <c r="B253" s="1">
        <v>45641</v>
      </c>
      <c r="C253" s="1">
        <v>45294</v>
      </c>
      <c r="D253" t="s">
        <v>193</v>
      </c>
      <c r="E253" t="s">
        <v>89</v>
      </c>
      <c r="F253">
        <v>3</v>
      </c>
      <c r="G253">
        <v>1777</v>
      </c>
      <c r="H253">
        <v>0</v>
      </c>
      <c r="I253" t="s">
        <v>32</v>
      </c>
      <c r="J253" t="s">
        <v>26</v>
      </c>
      <c r="K253" s="6">
        <f t="shared" si="12"/>
        <v>5331</v>
      </c>
      <c r="L253" s="6">
        <f t="shared" si="13"/>
        <v>5331</v>
      </c>
      <c r="M253" s="6">
        <f>_xlfn.XLOOKUP(E253, Products!A:A, Products!E:E)</f>
        <v>184</v>
      </c>
      <c r="N253" s="6">
        <f t="shared" si="14"/>
        <v>552</v>
      </c>
      <c r="O253" s="8">
        <f t="shared" si="15"/>
        <v>4779</v>
      </c>
      <c r="Q253" s="8"/>
      <c r="R253" s="8"/>
    </row>
    <row r="254" spans="1:18">
      <c r="A254" s="4">
        <v>100770</v>
      </c>
      <c r="B254" s="1">
        <v>45640</v>
      </c>
      <c r="C254" s="1">
        <v>45296</v>
      </c>
      <c r="D254" t="s">
        <v>267</v>
      </c>
      <c r="E254" t="s">
        <v>118</v>
      </c>
      <c r="F254">
        <v>3</v>
      </c>
      <c r="G254">
        <v>502</v>
      </c>
      <c r="H254">
        <v>15</v>
      </c>
      <c r="I254" t="s">
        <v>12</v>
      </c>
      <c r="J254" t="s">
        <v>22</v>
      </c>
      <c r="K254" s="6">
        <f t="shared" si="12"/>
        <v>1506</v>
      </c>
      <c r="L254" s="6">
        <f t="shared" si="13"/>
        <v>-21084</v>
      </c>
      <c r="M254" s="6">
        <f>_xlfn.XLOOKUP(E254, Products!A:A, Products!E:E)</f>
        <v>115</v>
      </c>
      <c r="N254" s="6">
        <f t="shared" si="14"/>
        <v>345</v>
      </c>
      <c r="O254" s="8">
        <f t="shared" si="15"/>
        <v>-21429</v>
      </c>
      <c r="Q254" s="8"/>
      <c r="R254" s="8"/>
    </row>
    <row r="255" spans="1:18">
      <c r="A255" s="4">
        <v>100282</v>
      </c>
      <c r="B255" s="1">
        <v>45637</v>
      </c>
      <c r="C255" s="1">
        <v>45298</v>
      </c>
      <c r="D255" t="s">
        <v>88</v>
      </c>
      <c r="E255" t="s">
        <v>71</v>
      </c>
      <c r="F255">
        <v>3</v>
      </c>
      <c r="G255">
        <v>273</v>
      </c>
      <c r="H255">
        <v>5</v>
      </c>
      <c r="I255" t="s">
        <v>19</v>
      </c>
      <c r="J255" t="s">
        <v>22</v>
      </c>
      <c r="K255" s="6">
        <f t="shared" si="12"/>
        <v>819</v>
      </c>
      <c r="L255" s="6">
        <f t="shared" si="13"/>
        <v>-3276</v>
      </c>
      <c r="M255" s="6">
        <f>_xlfn.XLOOKUP(E255, Products!A:A, Products!E:E)</f>
        <v>126</v>
      </c>
      <c r="N255" s="6">
        <f t="shared" si="14"/>
        <v>378</v>
      </c>
      <c r="O255" s="8">
        <f t="shared" si="15"/>
        <v>-3654</v>
      </c>
      <c r="Q255" s="8"/>
      <c r="R255" s="8"/>
    </row>
    <row r="256" spans="1:18">
      <c r="A256" s="4">
        <v>100635</v>
      </c>
      <c r="B256" s="1">
        <v>45636</v>
      </c>
      <c r="C256" s="1">
        <v>45294</v>
      </c>
      <c r="D256" t="s">
        <v>14</v>
      </c>
      <c r="E256" t="s">
        <v>53</v>
      </c>
      <c r="F256">
        <v>3</v>
      </c>
      <c r="G256">
        <v>477</v>
      </c>
      <c r="H256">
        <v>15</v>
      </c>
      <c r="I256" t="s">
        <v>12</v>
      </c>
      <c r="J256" t="s">
        <v>22</v>
      </c>
      <c r="K256" s="6">
        <f t="shared" si="12"/>
        <v>1431</v>
      </c>
      <c r="L256" s="6">
        <f t="shared" si="13"/>
        <v>-20034</v>
      </c>
      <c r="M256" s="6">
        <f>_xlfn.XLOOKUP(E256, Products!A:A, Products!E:E)</f>
        <v>140</v>
      </c>
      <c r="N256" s="6">
        <f t="shared" si="14"/>
        <v>420</v>
      </c>
      <c r="O256" s="8">
        <f t="shared" si="15"/>
        <v>-20454</v>
      </c>
      <c r="Q256" s="8"/>
      <c r="R256" s="8"/>
    </row>
    <row r="257" spans="1:18">
      <c r="A257" s="4">
        <v>100735</v>
      </c>
      <c r="B257" s="1">
        <v>45632</v>
      </c>
      <c r="C257" s="1">
        <v>45298</v>
      </c>
      <c r="D257" t="s">
        <v>310</v>
      </c>
      <c r="E257" t="s">
        <v>93</v>
      </c>
      <c r="F257">
        <v>3</v>
      </c>
      <c r="G257">
        <v>1733</v>
      </c>
      <c r="H257">
        <v>5</v>
      </c>
      <c r="I257" t="s">
        <v>32</v>
      </c>
      <c r="J257" t="s">
        <v>16</v>
      </c>
      <c r="K257" s="6">
        <f t="shared" si="12"/>
        <v>5199</v>
      </c>
      <c r="L257" s="6">
        <f t="shared" si="13"/>
        <v>-20796</v>
      </c>
      <c r="M257" s="6">
        <f>_xlfn.XLOOKUP(E257, Products!A:A, Products!E:E)</f>
        <v>222</v>
      </c>
      <c r="N257" s="6">
        <f t="shared" si="14"/>
        <v>666</v>
      </c>
      <c r="O257" s="8">
        <f t="shared" si="15"/>
        <v>-21462</v>
      </c>
      <c r="Q257" s="8"/>
      <c r="R257" s="8"/>
    </row>
    <row r="258" spans="1:18">
      <c r="A258" s="4">
        <v>100917</v>
      </c>
      <c r="B258" s="1">
        <v>45629</v>
      </c>
      <c r="C258" s="1">
        <v>45298</v>
      </c>
      <c r="D258" t="s">
        <v>27</v>
      </c>
      <c r="E258" t="s">
        <v>170</v>
      </c>
      <c r="F258">
        <v>3</v>
      </c>
      <c r="G258">
        <v>1400</v>
      </c>
      <c r="H258">
        <v>10</v>
      </c>
      <c r="I258" t="s">
        <v>32</v>
      </c>
      <c r="J258" t="s">
        <v>13</v>
      </c>
      <c r="K258" s="6">
        <f t="shared" ref="K258:K321" si="16">F258*G258</f>
        <v>4200</v>
      </c>
      <c r="L258" s="6">
        <f t="shared" si="13"/>
        <v>-37800</v>
      </c>
      <c r="M258" s="6">
        <f>_xlfn.XLOOKUP(E258, Products!A:A, Products!E:E)</f>
        <v>264</v>
      </c>
      <c r="N258" s="6">
        <f t="shared" si="14"/>
        <v>792</v>
      </c>
      <c r="O258" s="8">
        <f t="shared" si="15"/>
        <v>-38592</v>
      </c>
      <c r="Q258" s="8"/>
      <c r="R258" s="8"/>
    </row>
    <row r="259" spans="1:18">
      <c r="A259" s="4">
        <v>100149</v>
      </c>
      <c r="B259" s="1">
        <v>45629</v>
      </c>
      <c r="C259" s="1">
        <v>45296</v>
      </c>
      <c r="D259" t="s">
        <v>214</v>
      </c>
      <c r="E259" t="s">
        <v>24</v>
      </c>
      <c r="F259">
        <v>3</v>
      </c>
      <c r="G259">
        <v>1432</v>
      </c>
      <c r="H259">
        <v>15</v>
      </c>
      <c r="I259" t="s">
        <v>12</v>
      </c>
      <c r="J259" t="s">
        <v>26</v>
      </c>
      <c r="K259" s="6">
        <f t="shared" si="16"/>
        <v>4296</v>
      </c>
      <c r="L259" s="6">
        <f t="shared" ref="L259:L322" si="17">F259*G259*(1-H259)</f>
        <v>-60144</v>
      </c>
      <c r="M259" s="6">
        <f>_xlfn.XLOOKUP(E259, Products!A:A, Products!E:E)</f>
        <v>105</v>
      </c>
      <c r="N259" s="6">
        <f t="shared" ref="N259:N322" si="18">F259*M259</f>
        <v>315</v>
      </c>
      <c r="O259" s="8">
        <f t="shared" ref="O259:O322" si="19">L259-N259</f>
        <v>-60459</v>
      </c>
      <c r="Q259" s="8"/>
      <c r="R259" s="8"/>
    </row>
    <row r="260" spans="1:18">
      <c r="A260" s="4">
        <v>100671</v>
      </c>
      <c r="B260" s="1">
        <v>45626</v>
      </c>
      <c r="C260" s="1">
        <v>45299</v>
      </c>
      <c r="D260" t="s">
        <v>389</v>
      </c>
      <c r="E260" t="s">
        <v>144</v>
      </c>
      <c r="F260">
        <v>3</v>
      </c>
      <c r="G260">
        <v>894</v>
      </c>
      <c r="H260">
        <v>10</v>
      </c>
      <c r="I260" t="s">
        <v>19</v>
      </c>
      <c r="J260" t="s">
        <v>13</v>
      </c>
      <c r="K260" s="6">
        <f t="shared" si="16"/>
        <v>2682</v>
      </c>
      <c r="L260" s="6">
        <f t="shared" si="17"/>
        <v>-24138</v>
      </c>
      <c r="M260" s="6">
        <f>_xlfn.XLOOKUP(E260, Products!A:A, Products!E:E)</f>
        <v>247</v>
      </c>
      <c r="N260" s="6">
        <f t="shared" si="18"/>
        <v>741</v>
      </c>
      <c r="O260" s="8">
        <f t="shared" si="19"/>
        <v>-24879</v>
      </c>
      <c r="Q260" s="8"/>
      <c r="R260" s="8"/>
    </row>
    <row r="261" spans="1:18">
      <c r="A261" s="4">
        <v>100939</v>
      </c>
      <c r="B261" s="1">
        <v>45625</v>
      </c>
      <c r="C261" s="1">
        <v>45299</v>
      </c>
      <c r="D261" t="s">
        <v>299</v>
      </c>
      <c r="E261" t="s">
        <v>176</v>
      </c>
      <c r="F261">
        <v>3</v>
      </c>
      <c r="G261">
        <v>1636</v>
      </c>
      <c r="H261">
        <v>0</v>
      </c>
      <c r="I261" t="s">
        <v>32</v>
      </c>
      <c r="J261" t="s">
        <v>13</v>
      </c>
      <c r="K261" s="6">
        <f t="shared" si="16"/>
        <v>4908</v>
      </c>
      <c r="L261" s="6">
        <f t="shared" si="17"/>
        <v>4908</v>
      </c>
      <c r="M261" s="6">
        <f>_xlfn.XLOOKUP(E261, Products!A:A, Products!E:E)</f>
        <v>61</v>
      </c>
      <c r="N261" s="6">
        <f t="shared" si="18"/>
        <v>183</v>
      </c>
      <c r="O261" s="8">
        <f t="shared" si="19"/>
        <v>4725</v>
      </c>
      <c r="Q261" s="8"/>
      <c r="R261" s="8"/>
    </row>
    <row r="262" spans="1:18">
      <c r="A262" s="4">
        <v>100993</v>
      </c>
      <c r="B262" s="1">
        <v>45624</v>
      </c>
      <c r="C262" s="1">
        <v>45299</v>
      </c>
      <c r="D262" t="s">
        <v>296</v>
      </c>
      <c r="E262" t="s">
        <v>24</v>
      </c>
      <c r="F262">
        <v>3</v>
      </c>
      <c r="G262">
        <v>1568</v>
      </c>
      <c r="H262">
        <v>0</v>
      </c>
      <c r="I262" t="s">
        <v>32</v>
      </c>
      <c r="J262" t="s">
        <v>16</v>
      </c>
      <c r="K262" s="6">
        <f t="shared" si="16"/>
        <v>4704</v>
      </c>
      <c r="L262" s="6">
        <f t="shared" si="17"/>
        <v>4704</v>
      </c>
      <c r="M262" s="6">
        <f>_xlfn.XLOOKUP(E262, Products!A:A, Products!E:E)</f>
        <v>105</v>
      </c>
      <c r="N262" s="6">
        <f t="shared" si="18"/>
        <v>315</v>
      </c>
      <c r="O262" s="8">
        <f t="shared" si="19"/>
        <v>4389</v>
      </c>
      <c r="Q262" s="8"/>
      <c r="R262" s="8"/>
    </row>
    <row r="263" spans="1:18">
      <c r="A263" s="4">
        <v>100147</v>
      </c>
      <c r="B263" s="1">
        <v>45623</v>
      </c>
      <c r="C263" s="1">
        <v>45295</v>
      </c>
      <c r="D263" t="s">
        <v>62</v>
      </c>
      <c r="E263" t="s">
        <v>120</v>
      </c>
      <c r="F263">
        <v>3</v>
      </c>
      <c r="G263">
        <v>1452</v>
      </c>
      <c r="H263">
        <v>10</v>
      </c>
      <c r="I263" t="s">
        <v>29</v>
      </c>
      <c r="J263" t="s">
        <v>16</v>
      </c>
      <c r="K263" s="6">
        <f t="shared" si="16"/>
        <v>4356</v>
      </c>
      <c r="L263" s="6">
        <f t="shared" si="17"/>
        <v>-39204</v>
      </c>
      <c r="M263" s="6">
        <f>_xlfn.XLOOKUP(E263, Products!A:A, Products!E:E)</f>
        <v>52</v>
      </c>
      <c r="N263" s="6">
        <f t="shared" si="18"/>
        <v>156</v>
      </c>
      <c r="O263" s="8">
        <f t="shared" si="19"/>
        <v>-39360</v>
      </c>
      <c r="Q263" s="8"/>
      <c r="R263" s="8"/>
    </row>
    <row r="264" spans="1:18">
      <c r="A264" s="4">
        <v>100143</v>
      </c>
      <c r="B264" s="1">
        <v>45623</v>
      </c>
      <c r="C264" s="1">
        <v>45295</v>
      </c>
      <c r="D264" t="s">
        <v>76</v>
      </c>
      <c r="E264" t="s">
        <v>210</v>
      </c>
      <c r="F264">
        <v>3</v>
      </c>
      <c r="G264">
        <v>1925</v>
      </c>
      <c r="H264">
        <v>5</v>
      </c>
      <c r="I264" t="s">
        <v>19</v>
      </c>
      <c r="J264" t="s">
        <v>16</v>
      </c>
      <c r="K264" s="6">
        <f t="shared" si="16"/>
        <v>5775</v>
      </c>
      <c r="L264" s="6">
        <f t="shared" si="17"/>
        <v>-23100</v>
      </c>
      <c r="M264" s="6">
        <f>_xlfn.XLOOKUP(E264, Products!A:A, Products!E:E)</f>
        <v>135</v>
      </c>
      <c r="N264" s="6">
        <f t="shared" si="18"/>
        <v>405</v>
      </c>
      <c r="O264" s="8">
        <f t="shared" si="19"/>
        <v>-23505</v>
      </c>
      <c r="Q264" s="8"/>
      <c r="R264" s="8"/>
    </row>
    <row r="265" spans="1:18">
      <c r="A265" s="4">
        <v>100704</v>
      </c>
      <c r="B265" s="1">
        <v>45619</v>
      </c>
      <c r="C265" s="1">
        <v>45299</v>
      </c>
      <c r="D265" t="s">
        <v>205</v>
      </c>
      <c r="E265" t="s">
        <v>65</v>
      </c>
      <c r="F265">
        <v>3</v>
      </c>
      <c r="G265">
        <v>1510</v>
      </c>
      <c r="H265">
        <v>10</v>
      </c>
      <c r="I265" t="s">
        <v>19</v>
      </c>
      <c r="J265" t="s">
        <v>16</v>
      </c>
      <c r="K265" s="6">
        <f t="shared" si="16"/>
        <v>4530</v>
      </c>
      <c r="L265" s="6">
        <f t="shared" si="17"/>
        <v>-40770</v>
      </c>
      <c r="M265" s="6">
        <f>_xlfn.XLOOKUP(E265, Products!A:A, Products!E:E)</f>
        <v>213</v>
      </c>
      <c r="N265" s="6">
        <f t="shared" si="18"/>
        <v>639</v>
      </c>
      <c r="O265" s="8">
        <f t="shared" si="19"/>
        <v>-41409</v>
      </c>
      <c r="Q265" s="8"/>
      <c r="R265" s="8"/>
    </row>
    <row r="266" spans="1:18">
      <c r="A266" s="4">
        <v>100847</v>
      </c>
      <c r="B266" s="1">
        <v>45617</v>
      </c>
      <c r="C266" s="1">
        <v>45296</v>
      </c>
      <c r="D266" t="s">
        <v>30</v>
      </c>
      <c r="E266" t="s">
        <v>197</v>
      </c>
      <c r="F266">
        <v>3</v>
      </c>
      <c r="G266">
        <v>907</v>
      </c>
      <c r="H266">
        <v>5</v>
      </c>
      <c r="I266" t="s">
        <v>32</v>
      </c>
      <c r="J266" t="s">
        <v>16</v>
      </c>
      <c r="K266" s="6">
        <f t="shared" si="16"/>
        <v>2721</v>
      </c>
      <c r="L266" s="6">
        <f t="shared" si="17"/>
        <v>-10884</v>
      </c>
      <c r="M266" s="6">
        <f>_xlfn.XLOOKUP(E266, Products!A:A, Products!E:E)</f>
        <v>236</v>
      </c>
      <c r="N266" s="6">
        <f t="shared" si="18"/>
        <v>708</v>
      </c>
      <c r="O266" s="8">
        <f t="shared" si="19"/>
        <v>-11592</v>
      </c>
      <c r="Q266" s="8"/>
      <c r="R266" s="8"/>
    </row>
    <row r="267" spans="1:18">
      <c r="A267" s="4">
        <v>100443</v>
      </c>
      <c r="B267" s="1">
        <v>45617</v>
      </c>
      <c r="C267" s="1">
        <v>45295</v>
      </c>
      <c r="D267" t="s">
        <v>308</v>
      </c>
      <c r="E267" t="s">
        <v>87</v>
      </c>
      <c r="F267">
        <v>3</v>
      </c>
      <c r="G267">
        <v>1992</v>
      </c>
      <c r="H267">
        <v>15</v>
      </c>
      <c r="I267" t="s">
        <v>29</v>
      </c>
      <c r="J267" t="s">
        <v>16</v>
      </c>
      <c r="K267" s="6">
        <f t="shared" si="16"/>
        <v>5976</v>
      </c>
      <c r="L267" s="6">
        <f t="shared" si="17"/>
        <v>-83664</v>
      </c>
      <c r="M267" s="6">
        <f>_xlfn.XLOOKUP(E267, Products!A:A, Products!E:E)</f>
        <v>269</v>
      </c>
      <c r="N267" s="6">
        <f t="shared" si="18"/>
        <v>807</v>
      </c>
      <c r="O267" s="8">
        <f t="shared" si="19"/>
        <v>-84471</v>
      </c>
      <c r="Q267" s="8"/>
      <c r="R267" s="8"/>
    </row>
    <row r="268" spans="1:18">
      <c r="A268" s="4">
        <v>100258</v>
      </c>
      <c r="B268" s="1">
        <v>45615</v>
      </c>
      <c r="C268" s="1">
        <v>45294</v>
      </c>
      <c r="D268" t="s">
        <v>174</v>
      </c>
      <c r="E268" t="s">
        <v>178</v>
      </c>
      <c r="F268">
        <v>3</v>
      </c>
      <c r="G268">
        <v>1011</v>
      </c>
      <c r="H268">
        <v>15</v>
      </c>
      <c r="I268" t="s">
        <v>12</v>
      </c>
      <c r="J268" t="s">
        <v>13</v>
      </c>
      <c r="K268" s="6">
        <f t="shared" si="16"/>
        <v>3033</v>
      </c>
      <c r="L268" s="6">
        <f t="shared" si="17"/>
        <v>-42462</v>
      </c>
      <c r="M268" s="6">
        <f>_xlfn.XLOOKUP(E268, Products!A:A, Products!E:E)</f>
        <v>121</v>
      </c>
      <c r="N268" s="6">
        <f t="shared" si="18"/>
        <v>363</v>
      </c>
      <c r="O268" s="8">
        <f t="shared" si="19"/>
        <v>-42825</v>
      </c>
      <c r="Q268" s="8"/>
      <c r="R268" s="8"/>
    </row>
    <row r="269" spans="1:18">
      <c r="A269" s="4">
        <v>100123</v>
      </c>
      <c r="B269" s="1">
        <v>45614</v>
      </c>
      <c r="C269" s="1">
        <v>45301</v>
      </c>
      <c r="D269" t="s">
        <v>20</v>
      </c>
      <c r="E269" t="s">
        <v>93</v>
      </c>
      <c r="F269">
        <v>3</v>
      </c>
      <c r="G269">
        <v>1602</v>
      </c>
      <c r="H269">
        <v>15</v>
      </c>
      <c r="I269" t="s">
        <v>29</v>
      </c>
      <c r="J269" t="s">
        <v>16</v>
      </c>
      <c r="K269" s="6">
        <f t="shared" si="16"/>
        <v>4806</v>
      </c>
      <c r="L269" s="6">
        <f t="shared" si="17"/>
        <v>-67284</v>
      </c>
      <c r="M269" s="6">
        <f>_xlfn.XLOOKUP(E269, Products!A:A, Products!E:E)</f>
        <v>222</v>
      </c>
      <c r="N269" s="6">
        <f t="shared" si="18"/>
        <v>666</v>
      </c>
      <c r="O269" s="8">
        <f t="shared" si="19"/>
        <v>-67950</v>
      </c>
      <c r="Q269" s="8"/>
      <c r="R269" s="8"/>
    </row>
    <row r="270" spans="1:18">
      <c r="A270" s="4">
        <v>100673</v>
      </c>
      <c r="B270" s="1">
        <v>45614</v>
      </c>
      <c r="C270" s="1">
        <v>45295</v>
      </c>
      <c r="D270" t="s">
        <v>160</v>
      </c>
      <c r="E270" t="s">
        <v>73</v>
      </c>
      <c r="F270">
        <v>3</v>
      </c>
      <c r="G270">
        <v>1387</v>
      </c>
      <c r="H270">
        <v>10</v>
      </c>
      <c r="I270" t="s">
        <v>19</v>
      </c>
      <c r="J270" t="s">
        <v>16</v>
      </c>
      <c r="K270" s="6">
        <f t="shared" si="16"/>
        <v>4161</v>
      </c>
      <c r="L270" s="6">
        <f t="shared" si="17"/>
        <v>-37449</v>
      </c>
      <c r="M270" s="6">
        <f>_xlfn.XLOOKUP(E270, Products!A:A, Products!E:E)</f>
        <v>243</v>
      </c>
      <c r="N270" s="6">
        <f t="shared" si="18"/>
        <v>729</v>
      </c>
      <c r="O270" s="8">
        <f t="shared" si="19"/>
        <v>-38178</v>
      </c>
      <c r="Q270" s="8"/>
      <c r="R270" s="8"/>
    </row>
    <row r="271" spans="1:18">
      <c r="A271" s="4">
        <v>100425</v>
      </c>
      <c r="B271" s="1">
        <v>45612</v>
      </c>
      <c r="C271" s="1">
        <v>45302</v>
      </c>
      <c r="D271" t="s">
        <v>322</v>
      </c>
      <c r="E271" t="s">
        <v>11</v>
      </c>
      <c r="F271">
        <v>3</v>
      </c>
      <c r="G271">
        <v>586</v>
      </c>
      <c r="H271">
        <v>10</v>
      </c>
      <c r="I271" t="s">
        <v>29</v>
      </c>
      <c r="J271" t="s">
        <v>16</v>
      </c>
      <c r="K271" s="6">
        <f t="shared" si="16"/>
        <v>1758</v>
      </c>
      <c r="L271" s="6">
        <f t="shared" si="17"/>
        <v>-15822</v>
      </c>
      <c r="M271" s="6">
        <f>_xlfn.XLOOKUP(E271, Products!A:A, Products!E:E)</f>
        <v>144</v>
      </c>
      <c r="N271" s="6">
        <f t="shared" si="18"/>
        <v>432</v>
      </c>
      <c r="O271" s="8">
        <f t="shared" si="19"/>
        <v>-16254</v>
      </c>
      <c r="Q271" s="8"/>
      <c r="R271" s="8"/>
    </row>
    <row r="272" spans="1:18">
      <c r="A272" s="4">
        <v>100272</v>
      </c>
      <c r="B272" s="1">
        <v>45612</v>
      </c>
      <c r="C272" s="1">
        <v>45301</v>
      </c>
      <c r="D272" t="s">
        <v>157</v>
      </c>
      <c r="E272" t="s">
        <v>103</v>
      </c>
      <c r="F272">
        <v>3</v>
      </c>
      <c r="G272">
        <v>1768</v>
      </c>
      <c r="H272">
        <v>5</v>
      </c>
      <c r="I272" t="s">
        <v>12</v>
      </c>
      <c r="J272" t="s">
        <v>16</v>
      </c>
      <c r="K272" s="6">
        <f t="shared" si="16"/>
        <v>5304</v>
      </c>
      <c r="L272" s="6">
        <f t="shared" si="17"/>
        <v>-21216</v>
      </c>
      <c r="M272" s="6">
        <f>_xlfn.XLOOKUP(E272, Products!A:A, Products!E:E)</f>
        <v>185</v>
      </c>
      <c r="N272" s="6">
        <f t="shared" si="18"/>
        <v>555</v>
      </c>
      <c r="O272" s="8">
        <f t="shared" si="19"/>
        <v>-21771</v>
      </c>
      <c r="Q272" s="8"/>
      <c r="R272" s="8"/>
    </row>
    <row r="273" spans="1:18">
      <c r="A273" s="4">
        <v>100713</v>
      </c>
      <c r="B273" s="1">
        <v>45611</v>
      </c>
      <c r="C273" s="1">
        <v>45301</v>
      </c>
      <c r="D273" t="s">
        <v>309</v>
      </c>
      <c r="E273" t="s">
        <v>68</v>
      </c>
      <c r="F273">
        <v>3</v>
      </c>
      <c r="G273">
        <v>1115</v>
      </c>
      <c r="H273">
        <v>5</v>
      </c>
      <c r="I273" t="s">
        <v>32</v>
      </c>
      <c r="J273" t="s">
        <v>22</v>
      </c>
      <c r="K273" s="6">
        <f t="shared" si="16"/>
        <v>3345</v>
      </c>
      <c r="L273" s="6">
        <f t="shared" si="17"/>
        <v>-13380</v>
      </c>
      <c r="M273" s="6">
        <f>_xlfn.XLOOKUP(E273, Products!A:A, Products!E:E)</f>
        <v>295</v>
      </c>
      <c r="N273" s="6">
        <f t="shared" si="18"/>
        <v>885</v>
      </c>
      <c r="O273" s="8">
        <f t="shared" si="19"/>
        <v>-14265</v>
      </c>
      <c r="Q273" s="8"/>
      <c r="R273" s="8"/>
    </row>
    <row r="274" spans="1:18">
      <c r="A274" s="4">
        <v>100874</v>
      </c>
      <c r="B274" s="1">
        <v>45608</v>
      </c>
      <c r="C274" s="1">
        <v>45300</v>
      </c>
      <c r="D274" t="s">
        <v>346</v>
      </c>
      <c r="E274" t="s">
        <v>97</v>
      </c>
      <c r="F274">
        <v>3</v>
      </c>
      <c r="G274">
        <v>1457</v>
      </c>
      <c r="H274">
        <v>10</v>
      </c>
      <c r="I274" t="s">
        <v>29</v>
      </c>
      <c r="J274" t="s">
        <v>22</v>
      </c>
      <c r="K274" s="6">
        <f t="shared" si="16"/>
        <v>4371</v>
      </c>
      <c r="L274" s="6">
        <f t="shared" si="17"/>
        <v>-39339</v>
      </c>
      <c r="M274" s="6">
        <f>_xlfn.XLOOKUP(E274, Products!A:A, Products!E:E)</f>
        <v>229</v>
      </c>
      <c r="N274" s="6">
        <f t="shared" si="18"/>
        <v>687</v>
      </c>
      <c r="O274" s="8">
        <f t="shared" si="19"/>
        <v>-40026</v>
      </c>
      <c r="Q274" s="8"/>
      <c r="R274" s="8"/>
    </row>
    <row r="275" spans="1:18">
      <c r="A275" s="4">
        <v>100866</v>
      </c>
      <c r="B275" s="1">
        <v>45601</v>
      </c>
      <c r="C275" s="1">
        <v>45295</v>
      </c>
      <c r="D275" t="s">
        <v>341</v>
      </c>
      <c r="E275" t="s">
        <v>73</v>
      </c>
      <c r="F275">
        <v>3</v>
      </c>
      <c r="G275">
        <v>1611</v>
      </c>
      <c r="H275">
        <v>0</v>
      </c>
      <c r="I275" t="s">
        <v>29</v>
      </c>
      <c r="J275" t="s">
        <v>13</v>
      </c>
      <c r="K275" s="6">
        <f t="shared" si="16"/>
        <v>4833</v>
      </c>
      <c r="L275" s="6">
        <f t="shared" si="17"/>
        <v>4833</v>
      </c>
      <c r="M275" s="6">
        <f>_xlfn.XLOOKUP(E275, Products!A:A, Products!E:E)</f>
        <v>243</v>
      </c>
      <c r="N275" s="6">
        <f t="shared" si="18"/>
        <v>729</v>
      </c>
      <c r="O275" s="8">
        <f t="shared" si="19"/>
        <v>4104</v>
      </c>
      <c r="Q275" s="8"/>
      <c r="R275" s="8"/>
    </row>
    <row r="276" spans="1:18">
      <c r="A276" s="4">
        <v>100949</v>
      </c>
      <c r="B276" s="1">
        <v>45601</v>
      </c>
      <c r="C276" s="1">
        <v>45299</v>
      </c>
      <c r="D276" t="s">
        <v>62</v>
      </c>
      <c r="E276" t="s">
        <v>91</v>
      </c>
      <c r="F276">
        <v>3</v>
      </c>
      <c r="G276">
        <v>1989</v>
      </c>
      <c r="H276">
        <v>10</v>
      </c>
      <c r="I276" t="s">
        <v>19</v>
      </c>
      <c r="J276" t="s">
        <v>26</v>
      </c>
      <c r="K276" s="6">
        <f t="shared" si="16"/>
        <v>5967</v>
      </c>
      <c r="L276" s="6">
        <f t="shared" si="17"/>
        <v>-53703</v>
      </c>
      <c r="M276" s="6">
        <f>_xlfn.XLOOKUP(E276, Products!A:A, Products!E:E)</f>
        <v>243</v>
      </c>
      <c r="N276" s="6">
        <f t="shared" si="18"/>
        <v>729</v>
      </c>
      <c r="O276" s="8">
        <f t="shared" si="19"/>
        <v>-54432</v>
      </c>
      <c r="Q276" s="8"/>
      <c r="R276" s="8"/>
    </row>
    <row r="277" spans="1:18">
      <c r="A277" s="4">
        <v>100906</v>
      </c>
      <c r="B277" s="1">
        <v>45601</v>
      </c>
      <c r="C277" s="1">
        <v>45297</v>
      </c>
      <c r="D277" t="s">
        <v>339</v>
      </c>
      <c r="E277" t="s">
        <v>265</v>
      </c>
      <c r="F277">
        <v>3</v>
      </c>
      <c r="G277">
        <v>905</v>
      </c>
      <c r="H277">
        <v>5</v>
      </c>
      <c r="I277" t="s">
        <v>32</v>
      </c>
      <c r="J277" t="s">
        <v>13</v>
      </c>
      <c r="K277" s="6">
        <f t="shared" si="16"/>
        <v>2715</v>
      </c>
      <c r="L277" s="6">
        <f t="shared" si="17"/>
        <v>-10860</v>
      </c>
      <c r="M277" s="6">
        <f>_xlfn.XLOOKUP(E277, Products!A:A, Products!E:E)</f>
        <v>218</v>
      </c>
      <c r="N277" s="6">
        <f t="shared" si="18"/>
        <v>654</v>
      </c>
      <c r="O277" s="8">
        <f t="shared" si="19"/>
        <v>-11514</v>
      </c>
      <c r="Q277" s="8"/>
      <c r="R277" s="8"/>
    </row>
    <row r="278" spans="1:18">
      <c r="A278" s="4">
        <v>100754</v>
      </c>
      <c r="B278" s="1">
        <v>45598</v>
      </c>
      <c r="C278" s="1">
        <v>45296</v>
      </c>
      <c r="D278" t="s">
        <v>121</v>
      </c>
      <c r="E278" t="s">
        <v>89</v>
      </c>
      <c r="F278">
        <v>3</v>
      </c>
      <c r="G278">
        <v>1793</v>
      </c>
      <c r="H278">
        <v>10</v>
      </c>
      <c r="I278" t="s">
        <v>19</v>
      </c>
      <c r="J278" t="s">
        <v>26</v>
      </c>
      <c r="K278" s="6">
        <f t="shared" si="16"/>
        <v>5379</v>
      </c>
      <c r="L278" s="6">
        <f t="shared" si="17"/>
        <v>-48411</v>
      </c>
      <c r="M278" s="6">
        <f>_xlfn.XLOOKUP(E278, Products!A:A, Products!E:E)</f>
        <v>184</v>
      </c>
      <c r="N278" s="6">
        <f t="shared" si="18"/>
        <v>552</v>
      </c>
      <c r="O278" s="8">
        <f t="shared" si="19"/>
        <v>-48963</v>
      </c>
      <c r="Q278" s="8"/>
      <c r="R278" s="8"/>
    </row>
    <row r="279" spans="1:18">
      <c r="A279" s="4">
        <v>100475</v>
      </c>
      <c r="B279" s="1">
        <v>45597</v>
      </c>
      <c r="C279" s="1">
        <v>45295</v>
      </c>
      <c r="D279" t="s">
        <v>155</v>
      </c>
      <c r="E279" t="s">
        <v>170</v>
      </c>
      <c r="F279">
        <v>3</v>
      </c>
      <c r="G279">
        <v>806</v>
      </c>
      <c r="H279">
        <v>0</v>
      </c>
      <c r="I279" t="s">
        <v>19</v>
      </c>
      <c r="J279" t="s">
        <v>13</v>
      </c>
      <c r="K279" s="6">
        <f t="shared" si="16"/>
        <v>2418</v>
      </c>
      <c r="L279" s="6">
        <f t="shared" si="17"/>
        <v>2418</v>
      </c>
      <c r="M279" s="6">
        <f>_xlfn.XLOOKUP(E279, Products!A:A, Products!E:E)</f>
        <v>264</v>
      </c>
      <c r="N279" s="6">
        <f t="shared" si="18"/>
        <v>792</v>
      </c>
      <c r="O279" s="8">
        <f t="shared" si="19"/>
        <v>1626</v>
      </c>
      <c r="Q279" s="8"/>
      <c r="R279" s="8"/>
    </row>
    <row r="280" spans="1:18">
      <c r="A280" s="4">
        <v>100843</v>
      </c>
      <c r="B280" s="1">
        <v>45589</v>
      </c>
      <c r="C280" s="1">
        <v>45302</v>
      </c>
      <c r="D280" t="s">
        <v>113</v>
      </c>
      <c r="E280" t="s">
        <v>57</v>
      </c>
      <c r="F280">
        <v>3</v>
      </c>
      <c r="G280">
        <v>1627</v>
      </c>
      <c r="H280">
        <v>0</v>
      </c>
      <c r="I280" t="s">
        <v>32</v>
      </c>
      <c r="J280" t="s">
        <v>26</v>
      </c>
      <c r="K280" s="6">
        <f t="shared" si="16"/>
        <v>4881</v>
      </c>
      <c r="L280" s="6">
        <f t="shared" si="17"/>
        <v>4881</v>
      </c>
      <c r="M280" s="6">
        <f>_xlfn.XLOOKUP(E280, Products!A:A, Products!E:E)</f>
        <v>270</v>
      </c>
      <c r="N280" s="6">
        <f t="shared" si="18"/>
        <v>810</v>
      </c>
      <c r="O280" s="8">
        <f t="shared" si="19"/>
        <v>4071</v>
      </c>
      <c r="Q280" s="8"/>
      <c r="R280" s="8"/>
    </row>
    <row r="281" spans="1:18">
      <c r="A281" s="4">
        <v>100172</v>
      </c>
      <c r="B281" s="1">
        <v>45584</v>
      </c>
      <c r="C281" s="1">
        <v>45299</v>
      </c>
      <c r="D281" t="s">
        <v>226</v>
      </c>
      <c r="E281" t="s">
        <v>50</v>
      </c>
      <c r="F281">
        <v>3</v>
      </c>
      <c r="G281">
        <v>1752</v>
      </c>
      <c r="H281">
        <v>5</v>
      </c>
      <c r="I281" t="s">
        <v>29</v>
      </c>
      <c r="J281" t="s">
        <v>22</v>
      </c>
      <c r="K281" s="6">
        <f t="shared" si="16"/>
        <v>5256</v>
      </c>
      <c r="L281" s="6">
        <f t="shared" si="17"/>
        <v>-21024</v>
      </c>
      <c r="M281" s="6">
        <f>_xlfn.XLOOKUP(E281, Products!A:A, Products!E:E)</f>
        <v>218</v>
      </c>
      <c r="N281" s="6">
        <f t="shared" si="18"/>
        <v>654</v>
      </c>
      <c r="O281" s="8">
        <f t="shared" si="19"/>
        <v>-21678</v>
      </c>
      <c r="Q281" s="8"/>
      <c r="R281" s="8"/>
    </row>
    <row r="282" spans="1:18">
      <c r="A282" s="4">
        <v>100488</v>
      </c>
      <c r="B282" s="1">
        <v>45583</v>
      </c>
      <c r="C282" s="1">
        <v>45296</v>
      </c>
      <c r="D282" t="s">
        <v>344</v>
      </c>
      <c r="E282" t="s">
        <v>129</v>
      </c>
      <c r="F282">
        <v>3</v>
      </c>
      <c r="G282">
        <v>556</v>
      </c>
      <c r="H282">
        <v>15</v>
      </c>
      <c r="I282" t="s">
        <v>32</v>
      </c>
      <c r="J282" t="s">
        <v>26</v>
      </c>
      <c r="K282" s="6">
        <f t="shared" si="16"/>
        <v>1668</v>
      </c>
      <c r="L282" s="6">
        <f t="shared" si="17"/>
        <v>-23352</v>
      </c>
      <c r="M282" s="6">
        <f>_xlfn.XLOOKUP(E282, Products!A:A, Products!E:E)</f>
        <v>171</v>
      </c>
      <c r="N282" s="6">
        <f t="shared" si="18"/>
        <v>513</v>
      </c>
      <c r="O282" s="8">
        <f t="shared" si="19"/>
        <v>-23865</v>
      </c>
      <c r="Q282" s="8"/>
      <c r="R282" s="8"/>
    </row>
    <row r="283" spans="1:18">
      <c r="A283" s="4">
        <v>100462</v>
      </c>
      <c r="B283" s="1">
        <v>45577</v>
      </c>
      <c r="C283" s="1">
        <v>45296</v>
      </c>
      <c r="D283" t="s">
        <v>245</v>
      </c>
      <c r="E283" t="s">
        <v>83</v>
      </c>
      <c r="F283">
        <v>3</v>
      </c>
      <c r="G283">
        <v>1788</v>
      </c>
      <c r="H283">
        <v>15</v>
      </c>
      <c r="I283" t="s">
        <v>32</v>
      </c>
      <c r="J283" t="s">
        <v>16</v>
      </c>
      <c r="K283" s="6">
        <f t="shared" si="16"/>
        <v>5364</v>
      </c>
      <c r="L283" s="6">
        <f t="shared" si="17"/>
        <v>-75096</v>
      </c>
      <c r="M283" s="6">
        <f>_xlfn.XLOOKUP(E283, Products!A:A, Products!E:E)</f>
        <v>243</v>
      </c>
      <c r="N283" s="6">
        <f t="shared" si="18"/>
        <v>729</v>
      </c>
      <c r="O283" s="8">
        <f t="shared" si="19"/>
        <v>-75825</v>
      </c>
      <c r="Q283" s="8"/>
      <c r="R283" s="8"/>
    </row>
    <row r="284" spans="1:18">
      <c r="A284" s="4">
        <v>100749</v>
      </c>
      <c r="B284" s="1">
        <v>45577</v>
      </c>
      <c r="C284" s="1">
        <v>45294</v>
      </c>
      <c r="D284" t="s">
        <v>396</v>
      </c>
      <c r="E284" t="s">
        <v>207</v>
      </c>
      <c r="F284">
        <v>3</v>
      </c>
      <c r="G284">
        <v>388</v>
      </c>
      <c r="H284">
        <v>5</v>
      </c>
      <c r="I284" t="s">
        <v>29</v>
      </c>
      <c r="J284" t="s">
        <v>13</v>
      </c>
      <c r="K284" s="6">
        <f t="shared" si="16"/>
        <v>1164</v>
      </c>
      <c r="L284" s="6">
        <f t="shared" si="17"/>
        <v>-4656</v>
      </c>
      <c r="M284" s="6">
        <f>_xlfn.XLOOKUP(E284, Products!A:A, Products!E:E)</f>
        <v>147</v>
      </c>
      <c r="N284" s="6">
        <f t="shared" si="18"/>
        <v>441</v>
      </c>
      <c r="O284" s="8">
        <f t="shared" si="19"/>
        <v>-5097</v>
      </c>
      <c r="Q284" s="8"/>
      <c r="R284" s="8"/>
    </row>
    <row r="285" spans="1:18">
      <c r="A285" s="4">
        <v>100257</v>
      </c>
      <c r="B285" s="1">
        <v>45574</v>
      </c>
      <c r="C285" s="1">
        <v>45299</v>
      </c>
      <c r="D285" t="s">
        <v>274</v>
      </c>
      <c r="E285" t="s">
        <v>73</v>
      </c>
      <c r="F285">
        <v>3</v>
      </c>
      <c r="G285">
        <v>1671</v>
      </c>
      <c r="H285">
        <v>0</v>
      </c>
      <c r="I285" t="s">
        <v>19</v>
      </c>
      <c r="J285" t="s">
        <v>13</v>
      </c>
      <c r="K285" s="6">
        <f t="shared" si="16"/>
        <v>5013</v>
      </c>
      <c r="L285" s="6">
        <f t="shared" si="17"/>
        <v>5013</v>
      </c>
      <c r="M285" s="6">
        <f>_xlfn.XLOOKUP(E285, Products!A:A, Products!E:E)</f>
        <v>243</v>
      </c>
      <c r="N285" s="6">
        <f t="shared" si="18"/>
        <v>729</v>
      </c>
      <c r="O285" s="8">
        <f t="shared" si="19"/>
        <v>4284</v>
      </c>
      <c r="Q285" s="8"/>
      <c r="R285" s="8"/>
    </row>
    <row r="286" spans="1:18">
      <c r="A286" s="4">
        <v>100858</v>
      </c>
      <c r="B286" s="1">
        <v>45573</v>
      </c>
      <c r="C286" s="1">
        <v>45298</v>
      </c>
      <c r="D286" t="s">
        <v>23</v>
      </c>
      <c r="E286" t="s">
        <v>57</v>
      </c>
      <c r="F286">
        <v>3</v>
      </c>
      <c r="G286">
        <v>574</v>
      </c>
      <c r="H286">
        <v>10</v>
      </c>
      <c r="I286" t="s">
        <v>12</v>
      </c>
      <c r="J286" t="s">
        <v>22</v>
      </c>
      <c r="K286" s="6">
        <f t="shared" si="16"/>
        <v>1722</v>
      </c>
      <c r="L286" s="6">
        <f t="shared" si="17"/>
        <v>-15498</v>
      </c>
      <c r="M286" s="6">
        <f>_xlfn.XLOOKUP(E286, Products!A:A, Products!E:E)</f>
        <v>270</v>
      </c>
      <c r="N286" s="6">
        <f t="shared" si="18"/>
        <v>810</v>
      </c>
      <c r="O286" s="8">
        <f t="shared" si="19"/>
        <v>-16308</v>
      </c>
      <c r="Q286" s="8"/>
      <c r="R286" s="8"/>
    </row>
    <row r="287" spans="1:18">
      <c r="A287" s="4">
        <v>100968</v>
      </c>
      <c r="B287" s="1">
        <v>45572</v>
      </c>
      <c r="C287" s="1">
        <v>45298</v>
      </c>
      <c r="D287" t="s">
        <v>86</v>
      </c>
      <c r="E287" t="s">
        <v>11</v>
      </c>
      <c r="F287">
        <v>3</v>
      </c>
      <c r="G287">
        <v>265</v>
      </c>
      <c r="H287">
        <v>15</v>
      </c>
      <c r="I287" t="s">
        <v>12</v>
      </c>
      <c r="J287" t="s">
        <v>16</v>
      </c>
      <c r="K287" s="6">
        <f t="shared" si="16"/>
        <v>795</v>
      </c>
      <c r="L287" s="6">
        <f t="shared" si="17"/>
        <v>-11130</v>
      </c>
      <c r="M287" s="6">
        <f>_xlfn.XLOOKUP(E287, Products!A:A, Products!E:E)</f>
        <v>144</v>
      </c>
      <c r="N287" s="6">
        <f t="shared" si="18"/>
        <v>432</v>
      </c>
      <c r="O287" s="8">
        <f t="shared" si="19"/>
        <v>-11562</v>
      </c>
      <c r="Q287" s="8"/>
      <c r="R287" s="8"/>
    </row>
    <row r="288" spans="1:18">
      <c r="A288" s="4">
        <v>100292</v>
      </c>
      <c r="B288" s="1">
        <v>45570</v>
      </c>
      <c r="C288" s="1">
        <v>45294</v>
      </c>
      <c r="D288" t="s">
        <v>294</v>
      </c>
      <c r="E288" t="s">
        <v>224</v>
      </c>
      <c r="F288">
        <v>3</v>
      </c>
      <c r="G288">
        <v>1942</v>
      </c>
      <c r="H288">
        <v>10</v>
      </c>
      <c r="I288" t="s">
        <v>12</v>
      </c>
      <c r="J288" t="s">
        <v>22</v>
      </c>
      <c r="K288" s="6">
        <f t="shared" si="16"/>
        <v>5826</v>
      </c>
      <c r="L288" s="6">
        <f t="shared" si="17"/>
        <v>-52434</v>
      </c>
      <c r="M288" s="6">
        <f>_xlfn.XLOOKUP(E288, Products!A:A, Products!E:E)</f>
        <v>118</v>
      </c>
      <c r="N288" s="6">
        <f t="shared" si="18"/>
        <v>354</v>
      </c>
      <c r="O288" s="8">
        <f t="shared" si="19"/>
        <v>-52788</v>
      </c>
      <c r="Q288" s="8"/>
      <c r="R288" s="8"/>
    </row>
    <row r="289" spans="1:18">
      <c r="A289" s="4">
        <v>100625</v>
      </c>
      <c r="B289" s="1">
        <v>45568</v>
      </c>
      <c r="C289" s="1">
        <v>45300</v>
      </c>
      <c r="D289" t="s">
        <v>36</v>
      </c>
      <c r="E289" t="s">
        <v>207</v>
      </c>
      <c r="F289">
        <v>3</v>
      </c>
      <c r="G289">
        <v>776</v>
      </c>
      <c r="H289">
        <v>5</v>
      </c>
      <c r="I289" t="s">
        <v>29</v>
      </c>
      <c r="J289" t="s">
        <v>26</v>
      </c>
      <c r="K289" s="6">
        <f t="shared" si="16"/>
        <v>2328</v>
      </c>
      <c r="L289" s="6">
        <f t="shared" si="17"/>
        <v>-9312</v>
      </c>
      <c r="M289" s="6">
        <f>_xlfn.XLOOKUP(E289, Products!A:A, Products!E:E)</f>
        <v>147</v>
      </c>
      <c r="N289" s="6">
        <f t="shared" si="18"/>
        <v>441</v>
      </c>
      <c r="O289" s="8">
        <f t="shared" si="19"/>
        <v>-9753</v>
      </c>
      <c r="Q289" s="8"/>
      <c r="R289" s="8"/>
    </row>
    <row r="290" spans="1:18">
      <c r="A290" s="4">
        <v>100602</v>
      </c>
      <c r="B290" s="1">
        <v>45567</v>
      </c>
      <c r="C290" s="1">
        <v>45300</v>
      </c>
      <c r="D290" t="s">
        <v>94</v>
      </c>
      <c r="E290" t="s">
        <v>180</v>
      </c>
      <c r="F290">
        <v>3</v>
      </c>
      <c r="G290">
        <v>1872</v>
      </c>
      <c r="H290">
        <v>5</v>
      </c>
      <c r="I290" t="s">
        <v>32</v>
      </c>
      <c r="J290" t="s">
        <v>26</v>
      </c>
      <c r="K290" s="6">
        <f t="shared" si="16"/>
        <v>5616</v>
      </c>
      <c r="L290" s="6">
        <f t="shared" si="17"/>
        <v>-22464</v>
      </c>
      <c r="M290" s="6">
        <f>_xlfn.XLOOKUP(E290, Products!A:A, Products!E:E)</f>
        <v>81</v>
      </c>
      <c r="N290" s="6">
        <f t="shared" si="18"/>
        <v>243</v>
      </c>
      <c r="O290" s="8">
        <f t="shared" si="19"/>
        <v>-22707</v>
      </c>
      <c r="Q290" s="8"/>
      <c r="R290" s="8"/>
    </row>
    <row r="291" spans="1:18">
      <c r="A291" s="4">
        <v>100309</v>
      </c>
      <c r="B291" s="1">
        <v>45561</v>
      </c>
      <c r="C291" s="1">
        <v>45297</v>
      </c>
      <c r="D291" t="s">
        <v>300</v>
      </c>
      <c r="E291" t="s">
        <v>89</v>
      </c>
      <c r="F291">
        <v>3</v>
      </c>
      <c r="G291">
        <v>368</v>
      </c>
      <c r="H291">
        <v>10</v>
      </c>
      <c r="I291" t="s">
        <v>12</v>
      </c>
      <c r="J291" t="s">
        <v>13</v>
      </c>
      <c r="K291" s="6">
        <f t="shared" si="16"/>
        <v>1104</v>
      </c>
      <c r="L291" s="6">
        <f t="shared" si="17"/>
        <v>-9936</v>
      </c>
      <c r="M291" s="6">
        <f>_xlfn.XLOOKUP(E291, Products!A:A, Products!E:E)</f>
        <v>184</v>
      </c>
      <c r="N291" s="6">
        <f t="shared" si="18"/>
        <v>552</v>
      </c>
      <c r="O291" s="8">
        <f t="shared" si="19"/>
        <v>-10488</v>
      </c>
      <c r="Q291" s="8"/>
      <c r="R291" s="8"/>
    </row>
    <row r="292" spans="1:18">
      <c r="A292" s="4">
        <v>100898</v>
      </c>
      <c r="B292" s="1">
        <v>45560</v>
      </c>
      <c r="C292" s="1">
        <v>45301</v>
      </c>
      <c r="D292" t="s">
        <v>173</v>
      </c>
      <c r="E292" t="s">
        <v>80</v>
      </c>
      <c r="F292">
        <v>3</v>
      </c>
      <c r="G292">
        <v>1388</v>
      </c>
      <c r="H292">
        <v>5</v>
      </c>
      <c r="I292" t="s">
        <v>12</v>
      </c>
      <c r="J292" t="s">
        <v>26</v>
      </c>
      <c r="K292" s="6">
        <f t="shared" si="16"/>
        <v>4164</v>
      </c>
      <c r="L292" s="6">
        <f t="shared" si="17"/>
        <v>-16656</v>
      </c>
      <c r="M292" s="6">
        <f>_xlfn.XLOOKUP(E292, Products!A:A, Products!E:E)</f>
        <v>71</v>
      </c>
      <c r="N292" s="6">
        <f t="shared" si="18"/>
        <v>213</v>
      </c>
      <c r="O292" s="8">
        <f t="shared" si="19"/>
        <v>-16869</v>
      </c>
      <c r="Q292" s="8"/>
      <c r="R292" s="8"/>
    </row>
    <row r="293" spans="1:18">
      <c r="A293" s="4">
        <v>100636</v>
      </c>
      <c r="B293" s="1">
        <v>45556</v>
      </c>
      <c r="C293" s="1">
        <v>45294</v>
      </c>
      <c r="D293" t="s">
        <v>252</v>
      </c>
      <c r="E293" t="s">
        <v>197</v>
      </c>
      <c r="F293">
        <v>3</v>
      </c>
      <c r="G293">
        <v>273</v>
      </c>
      <c r="H293">
        <v>0</v>
      </c>
      <c r="I293" t="s">
        <v>19</v>
      </c>
      <c r="J293" t="s">
        <v>16</v>
      </c>
      <c r="K293" s="6">
        <f t="shared" si="16"/>
        <v>819</v>
      </c>
      <c r="L293" s="6">
        <f t="shared" si="17"/>
        <v>819</v>
      </c>
      <c r="M293" s="6">
        <f>_xlfn.XLOOKUP(E293, Products!A:A, Products!E:E)</f>
        <v>236</v>
      </c>
      <c r="N293" s="6">
        <f t="shared" si="18"/>
        <v>708</v>
      </c>
      <c r="O293" s="8">
        <f t="shared" si="19"/>
        <v>111</v>
      </c>
      <c r="Q293" s="8"/>
      <c r="R293" s="8"/>
    </row>
    <row r="294" spans="1:18">
      <c r="A294" s="4">
        <v>100243</v>
      </c>
      <c r="B294" s="1">
        <v>45553</v>
      </c>
      <c r="C294" s="1">
        <v>45302</v>
      </c>
      <c r="D294" t="s">
        <v>84</v>
      </c>
      <c r="E294" t="s">
        <v>247</v>
      </c>
      <c r="F294">
        <v>3</v>
      </c>
      <c r="G294">
        <v>850</v>
      </c>
      <c r="H294">
        <v>15</v>
      </c>
      <c r="I294" t="s">
        <v>32</v>
      </c>
      <c r="J294" t="s">
        <v>13</v>
      </c>
      <c r="K294" s="6">
        <f t="shared" si="16"/>
        <v>2550</v>
      </c>
      <c r="L294" s="6">
        <f t="shared" si="17"/>
        <v>-35700</v>
      </c>
      <c r="M294" s="6">
        <f>_xlfn.XLOOKUP(E294, Products!A:A, Products!E:E)</f>
        <v>70</v>
      </c>
      <c r="N294" s="6">
        <f t="shared" si="18"/>
        <v>210</v>
      </c>
      <c r="O294" s="8">
        <f t="shared" si="19"/>
        <v>-35910</v>
      </c>
      <c r="Q294" s="8"/>
      <c r="R294" s="8"/>
    </row>
    <row r="295" spans="1:18">
      <c r="A295" s="4">
        <v>100810</v>
      </c>
      <c r="B295" s="1">
        <v>45553</v>
      </c>
      <c r="C295" s="1">
        <v>45294</v>
      </c>
      <c r="D295" t="s">
        <v>268</v>
      </c>
      <c r="E295" t="s">
        <v>206</v>
      </c>
      <c r="F295">
        <v>3</v>
      </c>
      <c r="G295">
        <v>1103</v>
      </c>
      <c r="H295">
        <v>0</v>
      </c>
      <c r="I295" t="s">
        <v>32</v>
      </c>
      <c r="J295" t="s">
        <v>22</v>
      </c>
      <c r="K295" s="6">
        <f t="shared" si="16"/>
        <v>3309</v>
      </c>
      <c r="L295" s="6">
        <f t="shared" si="17"/>
        <v>3309</v>
      </c>
      <c r="M295" s="6">
        <f>_xlfn.XLOOKUP(E295, Products!A:A, Products!E:E)</f>
        <v>50</v>
      </c>
      <c r="N295" s="6">
        <f t="shared" si="18"/>
        <v>150</v>
      </c>
      <c r="O295" s="8">
        <f t="shared" si="19"/>
        <v>3159</v>
      </c>
      <c r="Q295" s="8"/>
      <c r="R295" s="8"/>
    </row>
    <row r="296" spans="1:18">
      <c r="A296" s="4">
        <v>100238</v>
      </c>
      <c r="B296" s="1">
        <v>45552</v>
      </c>
      <c r="C296" s="1">
        <v>45298</v>
      </c>
      <c r="D296" t="s">
        <v>267</v>
      </c>
      <c r="E296" t="s">
        <v>145</v>
      </c>
      <c r="F296">
        <v>3</v>
      </c>
      <c r="G296">
        <v>1524</v>
      </c>
      <c r="H296">
        <v>10</v>
      </c>
      <c r="I296" t="s">
        <v>29</v>
      </c>
      <c r="J296" t="s">
        <v>22</v>
      </c>
      <c r="K296" s="6">
        <f t="shared" si="16"/>
        <v>4572</v>
      </c>
      <c r="L296" s="6">
        <f t="shared" si="17"/>
        <v>-41148</v>
      </c>
      <c r="M296" s="6">
        <f>_xlfn.XLOOKUP(E296, Products!A:A, Products!E:E)</f>
        <v>247</v>
      </c>
      <c r="N296" s="6">
        <f t="shared" si="18"/>
        <v>741</v>
      </c>
      <c r="O296" s="8">
        <f t="shared" si="19"/>
        <v>-41889</v>
      </c>
      <c r="Q296" s="8"/>
      <c r="R296" s="8"/>
    </row>
    <row r="297" spans="1:18">
      <c r="A297" s="4">
        <v>100724</v>
      </c>
      <c r="B297" s="1">
        <v>45552</v>
      </c>
      <c r="C297" s="1">
        <v>45300</v>
      </c>
      <c r="D297" t="s">
        <v>239</v>
      </c>
      <c r="E297" t="s">
        <v>281</v>
      </c>
      <c r="F297">
        <v>3</v>
      </c>
      <c r="G297">
        <v>1886</v>
      </c>
      <c r="H297">
        <v>10</v>
      </c>
      <c r="I297" t="s">
        <v>19</v>
      </c>
      <c r="J297" t="s">
        <v>22</v>
      </c>
      <c r="K297" s="6">
        <f t="shared" si="16"/>
        <v>5658</v>
      </c>
      <c r="L297" s="6">
        <f t="shared" si="17"/>
        <v>-50922</v>
      </c>
      <c r="M297" s="6">
        <f>_xlfn.XLOOKUP(E297, Products!A:A, Products!E:E)</f>
        <v>117</v>
      </c>
      <c r="N297" s="6">
        <f t="shared" si="18"/>
        <v>351</v>
      </c>
      <c r="O297" s="8">
        <f t="shared" si="19"/>
        <v>-51273</v>
      </c>
      <c r="Q297" s="8"/>
      <c r="R297" s="8"/>
    </row>
    <row r="298" spans="1:18">
      <c r="A298" s="4">
        <v>100682</v>
      </c>
      <c r="B298" s="1">
        <v>45550</v>
      </c>
      <c r="C298" s="1">
        <v>45302</v>
      </c>
      <c r="D298" t="s">
        <v>262</v>
      </c>
      <c r="E298" t="s">
        <v>41</v>
      </c>
      <c r="F298">
        <v>3</v>
      </c>
      <c r="G298">
        <v>796</v>
      </c>
      <c r="H298">
        <v>5</v>
      </c>
      <c r="I298" t="s">
        <v>32</v>
      </c>
      <c r="J298" t="s">
        <v>16</v>
      </c>
      <c r="K298" s="6">
        <f t="shared" si="16"/>
        <v>2388</v>
      </c>
      <c r="L298" s="6">
        <f t="shared" si="17"/>
        <v>-9552</v>
      </c>
      <c r="M298" s="6">
        <f>_xlfn.XLOOKUP(E298, Products!A:A, Products!E:E)</f>
        <v>125</v>
      </c>
      <c r="N298" s="6">
        <f t="shared" si="18"/>
        <v>375</v>
      </c>
      <c r="O298" s="8">
        <f t="shared" si="19"/>
        <v>-9927</v>
      </c>
      <c r="Q298" s="8"/>
      <c r="R298" s="8"/>
    </row>
    <row r="299" spans="1:18">
      <c r="A299" s="4">
        <v>100156</v>
      </c>
      <c r="B299" s="1">
        <v>45548</v>
      </c>
      <c r="C299" s="1">
        <v>45298</v>
      </c>
      <c r="D299" t="s">
        <v>147</v>
      </c>
      <c r="E299" t="s">
        <v>115</v>
      </c>
      <c r="F299">
        <v>3</v>
      </c>
      <c r="G299">
        <v>1850</v>
      </c>
      <c r="H299">
        <v>10</v>
      </c>
      <c r="I299" t="s">
        <v>19</v>
      </c>
      <c r="J299" t="s">
        <v>26</v>
      </c>
      <c r="K299" s="6">
        <f t="shared" si="16"/>
        <v>5550</v>
      </c>
      <c r="L299" s="6">
        <f t="shared" si="17"/>
        <v>-49950</v>
      </c>
      <c r="M299" s="6">
        <f>_xlfn.XLOOKUP(E299, Products!A:A, Products!E:E)</f>
        <v>211</v>
      </c>
      <c r="N299" s="6">
        <f t="shared" si="18"/>
        <v>633</v>
      </c>
      <c r="O299" s="8">
        <f t="shared" si="19"/>
        <v>-50583</v>
      </c>
      <c r="Q299" s="8"/>
      <c r="R299" s="8"/>
    </row>
    <row r="300" spans="1:18">
      <c r="A300" s="4">
        <v>100852</v>
      </c>
      <c r="B300" s="1">
        <v>45548</v>
      </c>
      <c r="C300" s="1">
        <v>45302</v>
      </c>
      <c r="D300" t="s">
        <v>245</v>
      </c>
      <c r="E300" t="s">
        <v>101</v>
      </c>
      <c r="F300">
        <v>3</v>
      </c>
      <c r="G300">
        <v>573</v>
      </c>
      <c r="H300">
        <v>15</v>
      </c>
      <c r="I300" t="s">
        <v>29</v>
      </c>
      <c r="J300" t="s">
        <v>22</v>
      </c>
      <c r="K300" s="6">
        <f t="shared" si="16"/>
        <v>1719</v>
      </c>
      <c r="L300" s="6">
        <f t="shared" si="17"/>
        <v>-24066</v>
      </c>
      <c r="M300" s="6">
        <f>_xlfn.XLOOKUP(E300, Products!A:A, Products!E:E)</f>
        <v>126</v>
      </c>
      <c r="N300" s="6">
        <f t="shared" si="18"/>
        <v>378</v>
      </c>
      <c r="O300" s="8">
        <f t="shared" si="19"/>
        <v>-24444</v>
      </c>
      <c r="Q300" s="8"/>
      <c r="R300" s="8"/>
    </row>
    <row r="301" spans="1:18">
      <c r="A301" s="4">
        <v>100622</v>
      </c>
      <c r="B301" s="1">
        <v>45546</v>
      </c>
      <c r="C301" s="1">
        <v>45298</v>
      </c>
      <c r="D301" t="s">
        <v>337</v>
      </c>
      <c r="E301" t="s">
        <v>55</v>
      </c>
      <c r="F301">
        <v>3</v>
      </c>
      <c r="G301">
        <v>1334</v>
      </c>
      <c r="H301">
        <v>10</v>
      </c>
      <c r="I301" t="s">
        <v>29</v>
      </c>
      <c r="J301" t="s">
        <v>16</v>
      </c>
      <c r="K301" s="6">
        <f t="shared" si="16"/>
        <v>4002</v>
      </c>
      <c r="L301" s="6">
        <f t="shared" si="17"/>
        <v>-36018</v>
      </c>
      <c r="M301" s="6">
        <f>_xlfn.XLOOKUP(E301, Products!A:A, Products!E:E)</f>
        <v>141</v>
      </c>
      <c r="N301" s="6">
        <f t="shared" si="18"/>
        <v>423</v>
      </c>
      <c r="O301" s="8">
        <f t="shared" si="19"/>
        <v>-36441</v>
      </c>
      <c r="Q301" s="8"/>
      <c r="R301" s="8"/>
    </row>
    <row r="302" spans="1:18">
      <c r="A302" s="4">
        <v>100499</v>
      </c>
      <c r="B302" s="1">
        <v>45544</v>
      </c>
      <c r="C302" s="1">
        <v>45298</v>
      </c>
      <c r="D302" t="s">
        <v>272</v>
      </c>
      <c r="E302" t="s">
        <v>97</v>
      </c>
      <c r="F302">
        <v>3</v>
      </c>
      <c r="G302">
        <v>1280</v>
      </c>
      <c r="H302">
        <v>0</v>
      </c>
      <c r="I302" t="s">
        <v>29</v>
      </c>
      <c r="J302" t="s">
        <v>16</v>
      </c>
      <c r="K302" s="6">
        <f t="shared" si="16"/>
        <v>3840</v>
      </c>
      <c r="L302" s="6">
        <f t="shared" si="17"/>
        <v>3840</v>
      </c>
      <c r="M302" s="6">
        <f>_xlfn.XLOOKUP(E302, Products!A:A, Products!E:E)</f>
        <v>229</v>
      </c>
      <c r="N302" s="6">
        <f t="shared" si="18"/>
        <v>687</v>
      </c>
      <c r="O302" s="8">
        <f t="shared" si="19"/>
        <v>3153</v>
      </c>
      <c r="Q302" s="8"/>
      <c r="R302" s="8"/>
    </row>
    <row r="303" spans="1:18">
      <c r="A303" s="4">
        <v>100176</v>
      </c>
      <c r="B303" s="1">
        <v>45544</v>
      </c>
      <c r="C303" s="1">
        <v>45296</v>
      </c>
      <c r="D303" t="s">
        <v>74</v>
      </c>
      <c r="E303" t="s">
        <v>178</v>
      </c>
      <c r="F303">
        <v>3</v>
      </c>
      <c r="G303">
        <v>1874</v>
      </c>
      <c r="H303">
        <v>10</v>
      </c>
      <c r="I303" t="s">
        <v>12</v>
      </c>
      <c r="J303" t="s">
        <v>22</v>
      </c>
      <c r="K303" s="6">
        <f t="shared" si="16"/>
        <v>5622</v>
      </c>
      <c r="L303" s="6">
        <f t="shared" si="17"/>
        <v>-50598</v>
      </c>
      <c r="M303" s="6">
        <f>_xlfn.XLOOKUP(E303, Products!A:A, Products!E:E)</f>
        <v>121</v>
      </c>
      <c r="N303" s="6">
        <f t="shared" si="18"/>
        <v>363</v>
      </c>
      <c r="O303" s="8">
        <f t="shared" si="19"/>
        <v>-50961</v>
      </c>
      <c r="Q303" s="8"/>
      <c r="R303" s="8"/>
    </row>
    <row r="304" spans="1:18">
      <c r="A304" s="4">
        <v>100286</v>
      </c>
      <c r="B304" s="1">
        <v>45543</v>
      </c>
      <c r="C304" s="1">
        <v>45295</v>
      </c>
      <c r="D304" t="s">
        <v>225</v>
      </c>
      <c r="E304" t="s">
        <v>224</v>
      </c>
      <c r="F304">
        <v>3</v>
      </c>
      <c r="G304">
        <v>1830</v>
      </c>
      <c r="H304">
        <v>0</v>
      </c>
      <c r="I304" t="s">
        <v>32</v>
      </c>
      <c r="J304" t="s">
        <v>26</v>
      </c>
      <c r="K304" s="6">
        <f t="shared" si="16"/>
        <v>5490</v>
      </c>
      <c r="L304" s="6">
        <f t="shared" si="17"/>
        <v>5490</v>
      </c>
      <c r="M304" s="6">
        <f>_xlfn.XLOOKUP(E304, Products!A:A, Products!E:E)</f>
        <v>118</v>
      </c>
      <c r="N304" s="6">
        <f t="shared" si="18"/>
        <v>354</v>
      </c>
      <c r="O304" s="8">
        <f t="shared" si="19"/>
        <v>5136</v>
      </c>
      <c r="Q304" s="8"/>
      <c r="R304" s="8"/>
    </row>
    <row r="305" spans="1:18">
      <c r="A305" s="4">
        <v>100101</v>
      </c>
      <c r="B305" s="1">
        <v>45540</v>
      </c>
      <c r="C305" s="1">
        <v>45295</v>
      </c>
      <c r="D305" t="s">
        <v>166</v>
      </c>
      <c r="E305" t="s">
        <v>167</v>
      </c>
      <c r="F305">
        <v>3</v>
      </c>
      <c r="G305">
        <v>1013</v>
      </c>
      <c r="H305">
        <v>0</v>
      </c>
      <c r="I305" t="s">
        <v>12</v>
      </c>
      <c r="J305" t="s">
        <v>26</v>
      </c>
      <c r="K305" s="6">
        <f t="shared" si="16"/>
        <v>3039</v>
      </c>
      <c r="L305" s="6">
        <f t="shared" si="17"/>
        <v>3039</v>
      </c>
      <c r="M305" s="6">
        <f>_xlfn.XLOOKUP(E305, Products!A:A, Products!E:E)</f>
        <v>181</v>
      </c>
      <c r="N305" s="6">
        <f t="shared" si="18"/>
        <v>543</v>
      </c>
      <c r="O305" s="8">
        <f t="shared" si="19"/>
        <v>2496</v>
      </c>
      <c r="Q305" s="8"/>
      <c r="R305" s="8"/>
    </row>
    <row r="306" spans="1:18">
      <c r="A306" s="4">
        <v>100366</v>
      </c>
      <c r="B306" s="1">
        <v>45540</v>
      </c>
      <c r="C306" s="1">
        <v>45299</v>
      </c>
      <c r="D306" t="s">
        <v>309</v>
      </c>
      <c r="E306" t="s">
        <v>142</v>
      </c>
      <c r="F306">
        <v>3</v>
      </c>
      <c r="G306">
        <v>958</v>
      </c>
      <c r="H306">
        <v>10</v>
      </c>
      <c r="I306" t="s">
        <v>32</v>
      </c>
      <c r="J306" t="s">
        <v>22</v>
      </c>
      <c r="K306" s="6">
        <f t="shared" si="16"/>
        <v>2874</v>
      </c>
      <c r="L306" s="6">
        <f t="shared" si="17"/>
        <v>-25866</v>
      </c>
      <c r="M306" s="6">
        <f>_xlfn.XLOOKUP(E306, Products!A:A, Products!E:E)</f>
        <v>276</v>
      </c>
      <c r="N306" s="6">
        <f t="shared" si="18"/>
        <v>828</v>
      </c>
      <c r="O306" s="8">
        <f t="shared" si="19"/>
        <v>-26694</v>
      </c>
      <c r="Q306" s="8"/>
      <c r="R306" s="8"/>
    </row>
    <row r="307" spans="1:18">
      <c r="A307" s="4">
        <v>100125</v>
      </c>
      <c r="B307" s="1">
        <v>45538</v>
      </c>
      <c r="C307" s="1">
        <v>45297</v>
      </c>
      <c r="D307" t="s">
        <v>192</v>
      </c>
      <c r="E307" t="s">
        <v>77</v>
      </c>
      <c r="F307">
        <v>3</v>
      </c>
      <c r="G307">
        <v>345</v>
      </c>
      <c r="H307">
        <v>0</v>
      </c>
      <c r="I307" t="s">
        <v>19</v>
      </c>
      <c r="J307" t="s">
        <v>16</v>
      </c>
      <c r="K307" s="6">
        <f t="shared" si="16"/>
        <v>1035</v>
      </c>
      <c r="L307" s="6">
        <f t="shared" si="17"/>
        <v>1035</v>
      </c>
      <c r="M307" s="6">
        <f>_xlfn.XLOOKUP(E307, Products!A:A, Products!E:E)</f>
        <v>94</v>
      </c>
      <c r="N307" s="6">
        <f t="shared" si="18"/>
        <v>282</v>
      </c>
      <c r="O307" s="8">
        <f t="shared" si="19"/>
        <v>753</v>
      </c>
      <c r="Q307" s="8"/>
      <c r="R307" s="8"/>
    </row>
    <row r="308" spans="1:18">
      <c r="A308" s="4">
        <v>100942</v>
      </c>
      <c r="B308" s="1">
        <v>45538</v>
      </c>
      <c r="C308" s="1">
        <v>45300</v>
      </c>
      <c r="D308" t="s">
        <v>86</v>
      </c>
      <c r="E308" t="s">
        <v>101</v>
      </c>
      <c r="F308">
        <v>3</v>
      </c>
      <c r="G308">
        <v>1437</v>
      </c>
      <c r="H308">
        <v>10</v>
      </c>
      <c r="I308" t="s">
        <v>19</v>
      </c>
      <c r="J308" t="s">
        <v>16</v>
      </c>
      <c r="K308" s="6">
        <f t="shared" si="16"/>
        <v>4311</v>
      </c>
      <c r="L308" s="6">
        <f t="shared" si="17"/>
        <v>-38799</v>
      </c>
      <c r="M308" s="6">
        <f>_xlfn.XLOOKUP(E308, Products!A:A, Products!E:E)</f>
        <v>126</v>
      </c>
      <c r="N308" s="6">
        <f t="shared" si="18"/>
        <v>378</v>
      </c>
      <c r="O308" s="8">
        <f t="shared" si="19"/>
        <v>-39177</v>
      </c>
      <c r="Q308" s="8"/>
      <c r="R308" s="8"/>
    </row>
    <row r="309" spans="1:18">
      <c r="A309" s="4">
        <v>100414</v>
      </c>
      <c r="B309" s="1">
        <v>45537</v>
      </c>
      <c r="C309" s="1">
        <v>45298</v>
      </c>
      <c r="D309" t="s">
        <v>307</v>
      </c>
      <c r="E309" t="s">
        <v>37</v>
      </c>
      <c r="F309">
        <v>3</v>
      </c>
      <c r="G309">
        <v>385</v>
      </c>
      <c r="H309">
        <v>15</v>
      </c>
      <c r="I309" t="s">
        <v>19</v>
      </c>
      <c r="J309" t="s">
        <v>22</v>
      </c>
      <c r="K309" s="6">
        <f t="shared" si="16"/>
        <v>1155</v>
      </c>
      <c r="L309" s="6">
        <f t="shared" si="17"/>
        <v>-16170</v>
      </c>
      <c r="M309" s="6">
        <f>_xlfn.XLOOKUP(E309, Products!A:A, Products!E:E)</f>
        <v>282</v>
      </c>
      <c r="N309" s="6">
        <f t="shared" si="18"/>
        <v>846</v>
      </c>
      <c r="O309" s="8">
        <f t="shared" si="19"/>
        <v>-17016</v>
      </c>
      <c r="Q309" s="8"/>
      <c r="R309" s="8"/>
    </row>
    <row r="310" spans="1:18">
      <c r="A310" s="4">
        <v>100575</v>
      </c>
      <c r="B310" s="1">
        <v>45536</v>
      </c>
      <c r="C310" s="1">
        <v>45300</v>
      </c>
      <c r="D310" t="s">
        <v>352</v>
      </c>
      <c r="E310" t="s">
        <v>144</v>
      </c>
      <c r="F310">
        <v>3</v>
      </c>
      <c r="G310">
        <v>585</v>
      </c>
      <c r="H310">
        <v>15</v>
      </c>
      <c r="I310" t="s">
        <v>12</v>
      </c>
      <c r="J310" t="s">
        <v>26</v>
      </c>
      <c r="K310" s="6">
        <f t="shared" si="16"/>
        <v>1755</v>
      </c>
      <c r="L310" s="6">
        <f t="shared" si="17"/>
        <v>-24570</v>
      </c>
      <c r="M310" s="6">
        <f>_xlfn.XLOOKUP(E310, Products!A:A, Products!E:E)</f>
        <v>247</v>
      </c>
      <c r="N310" s="6">
        <f t="shared" si="18"/>
        <v>741</v>
      </c>
      <c r="O310" s="8">
        <f t="shared" si="19"/>
        <v>-25311</v>
      </c>
      <c r="Q310" s="8"/>
      <c r="R310" s="8"/>
    </row>
    <row r="311" spans="1:18">
      <c r="A311" s="4">
        <v>100751</v>
      </c>
      <c r="B311" s="1">
        <v>45536</v>
      </c>
      <c r="C311" s="1">
        <v>45300</v>
      </c>
      <c r="D311" t="s">
        <v>62</v>
      </c>
      <c r="E311" t="s">
        <v>126</v>
      </c>
      <c r="F311">
        <v>3</v>
      </c>
      <c r="G311">
        <v>227</v>
      </c>
      <c r="H311">
        <v>5</v>
      </c>
      <c r="I311" t="s">
        <v>32</v>
      </c>
      <c r="J311" t="s">
        <v>13</v>
      </c>
      <c r="K311" s="6">
        <f t="shared" si="16"/>
        <v>681</v>
      </c>
      <c r="L311" s="6">
        <f t="shared" si="17"/>
        <v>-2724</v>
      </c>
      <c r="M311" s="6">
        <f>_xlfn.XLOOKUP(E311, Products!A:A, Products!E:E)</f>
        <v>177</v>
      </c>
      <c r="N311" s="6">
        <f t="shared" si="18"/>
        <v>531</v>
      </c>
      <c r="O311" s="8">
        <f t="shared" si="19"/>
        <v>-3255</v>
      </c>
      <c r="Q311" s="8"/>
      <c r="R311" s="8"/>
    </row>
    <row r="312" spans="1:18">
      <c r="A312" s="4">
        <v>100028</v>
      </c>
      <c r="B312" s="1">
        <v>45534</v>
      </c>
      <c r="C312" s="1">
        <v>45295</v>
      </c>
      <c r="D312" t="s">
        <v>66</v>
      </c>
      <c r="E312" t="s">
        <v>15</v>
      </c>
      <c r="F312">
        <v>3</v>
      </c>
      <c r="G312">
        <v>1078</v>
      </c>
      <c r="H312">
        <v>0</v>
      </c>
      <c r="I312" t="s">
        <v>12</v>
      </c>
      <c r="J312" t="s">
        <v>26</v>
      </c>
      <c r="K312" s="6">
        <f t="shared" si="16"/>
        <v>3234</v>
      </c>
      <c r="L312" s="6">
        <f t="shared" si="17"/>
        <v>3234</v>
      </c>
      <c r="M312" s="6">
        <f>_xlfn.XLOOKUP(E312, Products!A:A, Products!E:E)</f>
        <v>242</v>
      </c>
      <c r="N312" s="6">
        <f t="shared" si="18"/>
        <v>726</v>
      </c>
      <c r="O312" s="8">
        <f t="shared" si="19"/>
        <v>2508</v>
      </c>
      <c r="Q312" s="8"/>
      <c r="R312" s="8"/>
    </row>
    <row r="313" spans="1:18">
      <c r="A313" s="4">
        <v>100246</v>
      </c>
      <c r="B313" s="1">
        <v>45533</v>
      </c>
      <c r="C313" s="1">
        <v>45301</v>
      </c>
      <c r="D313" t="s">
        <v>239</v>
      </c>
      <c r="E313" t="s">
        <v>139</v>
      </c>
      <c r="F313">
        <v>3</v>
      </c>
      <c r="G313">
        <v>1514</v>
      </c>
      <c r="H313">
        <v>10</v>
      </c>
      <c r="I313" t="s">
        <v>19</v>
      </c>
      <c r="J313" t="s">
        <v>26</v>
      </c>
      <c r="K313" s="6">
        <f t="shared" si="16"/>
        <v>4542</v>
      </c>
      <c r="L313" s="6">
        <f t="shared" si="17"/>
        <v>-40878</v>
      </c>
      <c r="M313" s="6">
        <f>_xlfn.XLOOKUP(E313, Products!A:A, Products!E:E)</f>
        <v>280</v>
      </c>
      <c r="N313" s="6">
        <f t="shared" si="18"/>
        <v>840</v>
      </c>
      <c r="O313" s="8">
        <f t="shared" si="19"/>
        <v>-41718</v>
      </c>
      <c r="Q313" s="8"/>
      <c r="R313" s="8"/>
    </row>
    <row r="314" spans="1:18">
      <c r="A314" s="4">
        <v>100741</v>
      </c>
      <c r="B314" s="1">
        <v>45533</v>
      </c>
      <c r="C314" s="1">
        <v>45296</v>
      </c>
      <c r="D314" t="s">
        <v>193</v>
      </c>
      <c r="E314" t="s">
        <v>18</v>
      </c>
      <c r="F314">
        <v>3</v>
      </c>
      <c r="G314">
        <v>655</v>
      </c>
      <c r="H314">
        <v>0</v>
      </c>
      <c r="I314" t="s">
        <v>29</v>
      </c>
      <c r="J314" t="s">
        <v>26</v>
      </c>
      <c r="K314" s="6">
        <f t="shared" si="16"/>
        <v>1965</v>
      </c>
      <c r="L314" s="6">
        <f t="shared" si="17"/>
        <v>1965</v>
      </c>
      <c r="M314" s="6">
        <f>_xlfn.XLOOKUP(E314, Products!A:A, Products!E:E)</f>
        <v>222</v>
      </c>
      <c r="N314" s="6">
        <f t="shared" si="18"/>
        <v>666</v>
      </c>
      <c r="O314" s="8">
        <f t="shared" si="19"/>
        <v>1299</v>
      </c>
      <c r="Q314" s="8"/>
      <c r="R314" s="8"/>
    </row>
    <row r="315" spans="1:18">
      <c r="A315" s="4">
        <v>100168</v>
      </c>
      <c r="B315" s="1">
        <v>45527</v>
      </c>
      <c r="C315" s="1">
        <v>45296</v>
      </c>
      <c r="D315" t="s">
        <v>182</v>
      </c>
      <c r="E315" t="s">
        <v>224</v>
      </c>
      <c r="F315">
        <v>3</v>
      </c>
      <c r="G315">
        <v>1552</v>
      </c>
      <c r="H315">
        <v>5</v>
      </c>
      <c r="I315" t="s">
        <v>29</v>
      </c>
      <c r="J315" t="s">
        <v>22</v>
      </c>
      <c r="K315" s="6">
        <f t="shared" si="16"/>
        <v>4656</v>
      </c>
      <c r="L315" s="6">
        <f t="shared" si="17"/>
        <v>-18624</v>
      </c>
      <c r="M315" s="6">
        <f>_xlfn.XLOOKUP(E315, Products!A:A, Products!E:E)</f>
        <v>118</v>
      </c>
      <c r="N315" s="6">
        <f t="shared" si="18"/>
        <v>354</v>
      </c>
      <c r="O315" s="8">
        <f t="shared" si="19"/>
        <v>-18978</v>
      </c>
      <c r="Q315" s="8"/>
      <c r="R315" s="8"/>
    </row>
    <row r="316" spans="1:18">
      <c r="A316" s="4">
        <v>100024</v>
      </c>
      <c r="B316" s="1">
        <v>45525</v>
      </c>
      <c r="C316" s="1">
        <v>45297</v>
      </c>
      <c r="D316" t="s">
        <v>58</v>
      </c>
      <c r="E316" t="s">
        <v>59</v>
      </c>
      <c r="F316">
        <v>3</v>
      </c>
      <c r="G316">
        <v>1458</v>
      </c>
      <c r="H316">
        <v>10</v>
      </c>
      <c r="I316" t="s">
        <v>29</v>
      </c>
      <c r="J316" t="s">
        <v>22</v>
      </c>
      <c r="K316" s="6">
        <f t="shared" si="16"/>
        <v>4374</v>
      </c>
      <c r="L316" s="6">
        <f t="shared" si="17"/>
        <v>-39366</v>
      </c>
      <c r="M316" s="6">
        <f>_xlfn.XLOOKUP(E316, Products!A:A, Products!E:E)</f>
        <v>116</v>
      </c>
      <c r="N316" s="6">
        <f t="shared" si="18"/>
        <v>348</v>
      </c>
      <c r="O316" s="8">
        <f t="shared" si="19"/>
        <v>-39714</v>
      </c>
      <c r="Q316" s="8"/>
      <c r="R316" s="8"/>
    </row>
    <row r="317" spans="1:18">
      <c r="A317" s="4">
        <v>100037</v>
      </c>
      <c r="B317" s="1">
        <v>45524</v>
      </c>
      <c r="C317" s="1">
        <v>45296</v>
      </c>
      <c r="D317" t="s">
        <v>81</v>
      </c>
      <c r="E317" t="s">
        <v>63</v>
      </c>
      <c r="F317">
        <v>3</v>
      </c>
      <c r="G317">
        <v>1591</v>
      </c>
      <c r="H317">
        <v>15</v>
      </c>
      <c r="I317" t="s">
        <v>19</v>
      </c>
      <c r="J317" t="s">
        <v>13</v>
      </c>
      <c r="K317" s="6">
        <f t="shared" si="16"/>
        <v>4773</v>
      </c>
      <c r="L317" s="6">
        <f t="shared" si="17"/>
        <v>-66822</v>
      </c>
      <c r="M317" s="6">
        <f>_xlfn.XLOOKUP(E317, Products!A:A, Products!E:E)</f>
        <v>294</v>
      </c>
      <c r="N317" s="6">
        <f t="shared" si="18"/>
        <v>882</v>
      </c>
      <c r="O317" s="8">
        <f t="shared" si="19"/>
        <v>-67704</v>
      </c>
      <c r="Q317" s="8"/>
      <c r="R317" s="8"/>
    </row>
    <row r="318" spans="1:18">
      <c r="A318" s="4">
        <v>100154</v>
      </c>
      <c r="B318" s="1">
        <v>45524</v>
      </c>
      <c r="C318" s="1">
        <v>45302</v>
      </c>
      <c r="D318" t="s">
        <v>51</v>
      </c>
      <c r="E318" t="s">
        <v>107</v>
      </c>
      <c r="F318">
        <v>3</v>
      </c>
      <c r="G318">
        <v>1615</v>
      </c>
      <c r="H318">
        <v>10</v>
      </c>
      <c r="I318" t="s">
        <v>12</v>
      </c>
      <c r="J318" t="s">
        <v>26</v>
      </c>
      <c r="K318" s="6">
        <f t="shared" si="16"/>
        <v>4845</v>
      </c>
      <c r="L318" s="6">
        <f t="shared" si="17"/>
        <v>-43605</v>
      </c>
      <c r="M318" s="6">
        <f>_xlfn.XLOOKUP(E318, Products!A:A, Products!E:E)</f>
        <v>232</v>
      </c>
      <c r="N318" s="6">
        <f t="shared" si="18"/>
        <v>696</v>
      </c>
      <c r="O318" s="8">
        <f t="shared" si="19"/>
        <v>-44301</v>
      </c>
      <c r="Q318" s="8"/>
      <c r="R318" s="8"/>
    </row>
    <row r="319" spans="1:18">
      <c r="A319" s="4">
        <v>100719</v>
      </c>
      <c r="B319" s="1">
        <v>45524</v>
      </c>
      <c r="C319" s="1">
        <v>45302</v>
      </c>
      <c r="D319" t="s">
        <v>78</v>
      </c>
      <c r="E319" t="s">
        <v>167</v>
      </c>
      <c r="F319">
        <v>3</v>
      </c>
      <c r="G319">
        <v>1884</v>
      </c>
      <c r="H319">
        <v>15</v>
      </c>
      <c r="I319" t="s">
        <v>32</v>
      </c>
      <c r="J319" t="s">
        <v>22</v>
      </c>
      <c r="K319" s="6">
        <f t="shared" si="16"/>
        <v>5652</v>
      </c>
      <c r="L319" s="6">
        <f t="shared" si="17"/>
        <v>-79128</v>
      </c>
      <c r="M319" s="6">
        <f>_xlfn.XLOOKUP(E319, Products!A:A, Products!E:E)</f>
        <v>181</v>
      </c>
      <c r="N319" s="6">
        <f t="shared" si="18"/>
        <v>543</v>
      </c>
      <c r="O319" s="8">
        <f t="shared" si="19"/>
        <v>-79671</v>
      </c>
      <c r="Q319" s="8"/>
      <c r="R319" s="8"/>
    </row>
    <row r="320" spans="1:18">
      <c r="A320" s="4">
        <v>100947</v>
      </c>
      <c r="B320" s="1">
        <v>45523</v>
      </c>
      <c r="C320" s="1">
        <v>45294</v>
      </c>
      <c r="D320" t="s">
        <v>161</v>
      </c>
      <c r="E320" t="s">
        <v>99</v>
      </c>
      <c r="F320">
        <v>3</v>
      </c>
      <c r="G320">
        <v>1795</v>
      </c>
      <c r="H320">
        <v>0</v>
      </c>
      <c r="I320" t="s">
        <v>19</v>
      </c>
      <c r="J320" t="s">
        <v>13</v>
      </c>
      <c r="K320" s="6">
        <f t="shared" si="16"/>
        <v>5385</v>
      </c>
      <c r="L320" s="6">
        <f t="shared" si="17"/>
        <v>5385</v>
      </c>
      <c r="M320" s="6">
        <f>_xlfn.XLOOKUP(E320, Products!A:A, Products!E:E)</f>
        <v>145</v>
      </c>
      <c r="N320" s="6">
        <f t="shared" si="18"/>
        <v>435</v>
      </c>
      <c r="O320" s="8">
        <f t="shared" si="19"/>
        <v>4950</v>
      </c>
      <c r="Q320" s="8"/>
      <c r="R320" s="8"/>
    </row>
    <row r="321" spans="1:18">
      <c r="A321" s="4">
        <v>100085</v>
      </c>
      <c r="B321" s="1">
        <v>45522</v>
      </c>
      <c r="C321" s="1">
        <v>45295</v>
      </c>
      <c r="D321" t="s">
        <v>150</v>
      </c>
      <c r="E321" t="s">
        <v>15</v>
      </c>
      <c r="F321">
        <v>3</v>
      </c>
      <c r="G321">
        <v>1369</v>
      </c>
      <c r="H321">
        <v>10</v>
      </c>
      <c r="I321" t="s">
        <v>19</v>
      </c>
      <c r="J321" t="s">
        <v>26</v>
      </c>
      <c r="K321" s="6">
        <f t="shared" si="16"/>
        <v>4107</v>
      </c>
      <c r="L321" s="6">
        <f t="shared" si="17"/>
        <v>-36963</v>
      </c>
      <c r="M321" s="6">
        <f>_xlfn.XLOOKUP(E321, Products!A:A, Products!E:E)</f>
        <v>242</v>
      </c>
      <c r="N321" s="6">
        <f t="shared" si="18"/>
        <v>726</v>
      </c>
      <c r="O321" s="8">
        <f t="shared" si="19"/>
        <v>-37689</v>
      </c>
      <c r="Q321" s="8"/>
      <c r="R321" s="8"/>
    </row>
    <row r="322" spans="1:18">
      <c r="A322" s="4">
        <v>100903</v>
      </c>
      <c r="B322" s="1">
        <v>45516</v>
      </c>
      <c r="C322" s="1">
        <v>45295</v>
      </c>
      <c r="D322" t="s">
        <v>285</v>
      </c>
      <c r="E322" t="s">
        <v>224</v>
      </c>
      <c r="F322">
        <v>3</v>
      </c>
      <c r="G322">
        <v>665</v>
      </c>
      <c r="H322">
        <v>15</v>
      </c>
      <c r="I322" t="s">
        <v>29</v>
      </c>
      <c r="J322" t="s">
        <v>16</v>
      </c>
      <c r="K322" s="6">
        <f t="shared" ref="K322:K385" si="20">F322*G322</f>
        <v>1995</v>
      </c>
      <c r="L322" s="6">
        <f t="shared" si="17"/>
        <v>-27930</v>
      </c>
      <c r="M322" s="6">
        <f>_xlfn.XLOOKUP(E322, Products!A:A, Products!E:E)</f>
        <v>118</v>
      </c>
      <c r="N322" s="6">
        <f t="shared" si="18"/>
        <v>354</v>
      </c>
      <c r="O322" s="8">
        <f t="shared" si="19"/>
        <v>-28284</v>
      </c>
      <c r="Q322" s="8"/>
      <c r="R322" s="8"/>
    </row>
    <row r="323" spans="1:18">
      <c r="A323" s="4">
        <v>100262</v>
      </c>
      <c r="B323" s="1">
        <v>45515</v>
      </c>
      <c r="C323" s="1">
        <v>45300</v>
      </c>
      <c r="D323" t="s">
        <v>276</v>
      </c>
      <c r="E323" t="s">
        <v>61</v>
      </c>
      <c r="F323">
        <v>3</v>
      </c>
      <c r="G323">
        <v>773</v>
      </c>
      <c r="H323">
        <v>0</v>
      </c>
      <c r="I323" t="s">
        <v>29</v>
      </c>
      <c r="J323" t="s">
        <v>22</v>
      </c>
      <c r="K323" s="6">
        <f t="shared" si="20"/>
        <v>2319</v>
      </c>
      <c r="L323" s="6">
        <f t="shared" ref="L323:L386" si="21">F323*G323*(1-H323)</f>
        <v>2319</v>
      </c>
      <c r="M323" s="6">
        <f>_xlfn.XLOOKUP(E323, Products!A:A, Products!E:E)</f>
        <v>65</v>
      </c>
      <c r="N323" s="6">
        <f t="shared" ref="N323:N386" si="22">F323*M323</f>
        <v>195</v>
      </c>
      <c r="O323" s="8">
        <f t="shared" ref="O323:O386" si="23">L323-N323</f>
        <v>2124</v>
      </c>
      <c r="Q323" s="8"/>
      <c r="R323" s="8"/>
    </row>
    <row r="324" spans="1:18">
      <c r="A324" s="4">
        <v>100734</v>
      </c>
      <c r="B324" s="1">
        <v>45514</v>
      </c>
      <c r="C324" s="1">
        <v>45300</v>
      </c>
      <c r="D324" t="s">
        <v>111</v>
      </c>
      <c r="E324" t="s">
        <v>367</v>
      </c>
      <c r="F324">
        <v>3</v>
      </c>
      <c r="G324">
        <v>360</v>
      </c>
      <c r="H324">
        <v>10</v>
      </c>
      <c r="I324" t="s">
        <v>12</v>
      </c>
      <c r="J324" t="s">
        <v>26</v>
      </c>
      <c r="K324" s="6">
        <f t="shared" si="20"/>
        <v>1080</v>
      </c>
      <c r="L324" s="6">
        <f t="shared" si="21"/>
        <v>-9720</v>
      </c>
      <c r="M324" s="6">
        <f>_xlfn.XLOOKUP(E324, Products!A:A, Products!E:E)</f>
        <v>158</v>
      </c>
      <c r="N324" s="6">
        <f t="shared" si="22"/>
        <v>474</v>
      </c>
      <c r="O324" s="8">
        <f t="shared" si="23"/>
        <v>-10194</v>
      </c>
      <c r="Q324" s="8"/>
      <c r="R324" s="8"/>
    </row>
    <row r="325" spans="1:18">
      <c r="A325" s="4">
        <v>100612</v>
      </c>
      <c r="B325" s="1">
        <v>45514</v>
      </c>
      <c r="C325" s="1">
        <v>45297</v>
      </c>
      <c r="D325" t="s">
        <v>286</v>
      </c>
      <c r="E325" t="s">
        <v>187</v>
      </c>
      <c r="F325">
        <v>3</v>
      </c>
      <c r="G325">
        <v>1437</v>
      </c>
      <c r="H325">
        <v>15</v>
      </c>
      <c r="I325" t="s">
        <v>19</v>
      </c>
      <c r="J325" t="s">
        <v>26</v>
      </c>
      <c r="K325" s="6">
        <f t="shared" si="20"/>
        <v>4311</v>
      </c>
      <c r="L325" s="6">
        <f t="shared" si="21"/>
        <v>-60354</v>
      </c>
      <c r="M325" s="6">
        <f>_xlfn.XLOOKUP(E325, Products!A:A, Products!E:E)</f>
        <v>68</v>
      </c>
      <c r="N325" s="6">
        <f t="shared" si="22"/>
        <v>204</v>
      </c>
      <c r="O325" s="8">
        <f t="shared" si="23"/>
        <v>-60558</v>
      </c>
      <c r="Q325" s="8"/>
      <c r="R325" s="8"/>
    </row>
    <row r="326" spans="1:18">
      <c r="A326" s="4">
        <v>100239</v>
      </c>
      <c r="B326" s="1">
        <v>45513</v>
      </c>
      <c r="C326" s="1">
        <v>45299</v>
      </c>
      <c r="D326" t="s">
        <v>268</v>
      </c>
      <c r="E326" t="s">
        <v>11</v>
      </c>
      <c r="F326">
        <v>3</v>
      </c>
      <c r="G326">
        <v>1709</v>
      </c>
      <c r="H326">
        <v>5</v>
      </c>
      <c r="I326" t="s">
        <v>12</v>
      </c>
      <c r="J326" t="s">
        <v>22</v>
      </c>
      <c r="K326" s="6">
        <f t="shared" si="20"/>
        <v>5127</v>
      </c>
      <c r="L326" s="6">
        <f t="shared" si="21"/>
        <v>-20508</v>
      </c>
      <c r="M326" s="6">
        <f>_xlfn.XLOOKUP(E326, Products!A:A, Products!E:E)</f>
        <v>144</v>
      </c>
      <c r="N326" s="6">
        <f t="shared" si="22"/>
        <v>432</v>
      </c>
      <c r="O326" s="8">
        <f t="shared" si="23"/>
        <v>-20940</v>
      </c>
      <c r="Q326" s="8"/>
      <c r="R326" s="8"/>
    </row>
    <row r="327" spans="1:18">
      <c r="A327" s="4">
        <v>100461</v>
      </c>
      <c r="B327" s="1">
        <v>45511</v>
      </c>
      <c r="C327" s="1">
        <v>45302</v>
      </c>
      <c r="D327" t="s">
        <v>49</v>
      </c>
      <c r="E327" t="s">
        <v>129</v>
      </c>
      <c r="F327">
        <v>3</v>
      </c>
      <c r="G327">
        <v>754</v>
      </c>
      <c r="H327">
        <v>5</v>
      </c>
      <c r="I327" t="s">
        <v>29</v>
      </c>
      <c r="J327" t="s">
        <v>22</v>
      </c>
      <c r="K327" s="6">
        <f t="shared" si="20"/>
        <v>2262</v>
      </c>
      <c r="L327" s="6">
        <f t="shared" si="21"/>
        <v>-9048</v>
      </c>
      <c r="M327" s="6">
        <f>_xlfn.XLOOKUP(E327, Products!A:A, Products!E:E)</f>
        <v>171</v>
      </c>
      <c r="N327" s="6">
        <f t="shared" si="22"/>
        <v>513</v>
      </c>
      <c r="O327" s="8">
        <f t="shared" si="23"/>
        <v>-9561</v>
      </c>
      <c r="Q327" s="8"/>
      <c r="R327" s="8"/>
    </row>
    <row r="328" spans="1:18">
      <c r="A328" s="4">
        <v>100200</v>
      </c>
      <c r="B328" s="1">
        <v>45511</v>
      </c>
      <c r="C328" s="1">
        <v>45298</v>
      </c>
      <c r="D328" t="s">
        <v>245</v>
      </c>
      <c r="E328" t="s">
        <v>195</v>
      </c>
      <c r="F328">
        <v>3</v>
      </c>
      <c r="G328">
        <v>1854</v>
      </c>
      <c r="H328">
        <v>0</v>
      </c>
      <c r="I328" t="s">
        <v>12</v>
      </c>
      <c r="J328" t="s">
        <v>22</v>
      </c>
      <c r="K328" s="6">
        <f t="shared" si="20"/>
        <v>5562</v>
      </c>
      <c r="L328" s="6">
        <f t="shared" si="21"/>
        <v>5562</v>
      </c>
      <c r="M328" s="6">
        <f>_xlfn.XLOOKUP(E328, Products!A:A, Products!E:E)</f>
        <v>261</v>
      </c>
      <c r="N328" s="6">
        <f t="shared" si="22"/>
        <v>783</v>
      </c>
      <c r="O328" s="8">
        <f t="shared" si="23"/>
        <v>4779</v>
      </c>
      <c r="Q328" s="8"/>
      <c r="R328" s="8"/>
    </row>
    <row r="329" spans="1:18">
      <c r="A329" s="4">
        <v>100315</v>
      </c>
      <c r="B329" s="1">
        <v>45510</v>
      </c>
      <c r="C329" s="1">
        <v>45302</v>
      </c>
      <c r="D329" t="s">
        <v>295</v>
      </c>
      <c r="E329" t="s">
        <v>11</v>
      </c>
      <c r="F329">
        <v>3</v>
      </c>
      <c r="G329">
        <v>1805</v>
      </c>
      <c r="H329">
        <v>0</v>
      </c>
      <c r="I329" t="s">
        <v>19</v>
      </c>
      <c r="J329" t="s">
        <v>26</v>
      </c>
      <c r="K329" s="6">
        <f t="shared" si="20"/>
        <v>5415</v>
      </c>
      <c r="L329" s="6">
        <f t="shared" si="21"/>
        <v>5415</v>
      </c>
      <c r="M329" s="6">
        <f>_xlfn.XLOOKUP(E329, Products!A:A, Products!E:E)</f>
        <v>144</v>
      </c>
      <c r="N329" s="6">
        <f t="shared" si="22"/>
        <v>432</v>
      </c>
      <c r="O329" s="8">
        <f t="shared" si="23"/>
        <v>4983</v>
      </c>
      <c r="Q329" s="8"/>
      <c r="R329" s="8"/>
    </row>
    <row r="330" spans="1:18">
      <c r="A330" s="4">
        <v>100152</v>
      </c>
      <c r="B330" s="1">
        <v>45508</v>
      </c>
      <c r="C330" s="1">
        <v>45299</v>
      </c>
      <c r="D330" t="s">
        <v>216</v>
      </c>
      <c r="E330" t="s">
        <v>73</v>
      </c>
      <c r="F330">
        <v>3</v>
      </c>
      <c r="G330">
        <v>218</v>
      </c>
      <c r="H330">
        <v>10</v>
      </c>
      <c r="I330" t="s">
        <v>19</v>
      </c>
      <c r="J330" t="s">
        <v>16</v>
      </c>
      <c r="K330" s="6">
        <f t="shared" si="20"/>
        <v>654</v>
      </c>
      <c r="L330" s="6">
        <f t="shared" si="21"/>
        <v>-5886</v>
      </c>
      <c r="M330" s="6">
        <f>_xlfn.XLOOKUP(E330, Products!A:A, Products!E:E)</f>
        <v>243</v>
      </c>
      <c r="N330" s="6">
        <f t="shared" si="22"/>
        <v>729</v>
      </c>
      <c r="O330" s="8">
        <f t="shared" si="23"/>
        <v>-6615</v>
      </c>
      <c r="Q330" s="8"/>
      <c r="R330" s="8"/>
    </row>
    <row r="331" spans="1:18">
      <c r="A331" s="4">
        <v>100436</v>
      </c>
      <c r="B331" s="1">
        <v>45508</v>
      </c>
      <c r="C331" s="1">
        <v>45297</v>
      </c>
      <c r="D331" t="s">
        <v>348</v>
      </c>
      <c r="E331" t="s">
        <v>118</v>
      </c>
      <c r="F331">
        <v>3</v>
      </c>
      <c r="G331">
        <v>1548</v>
      </c>
      <c r="H331">
        <v>15</v>
      </c>
      <c r="I331" t="s">
        <v>32</v>
      </c>
      <c r="J331" t="s">
        <v>16</v>
      </c>
      <c r="K331" s="6">
        <f t="shared" si="20"/>
        <v>4644</v>
      </c>
      <c r="L331" s="6">
        <f t="shared" si="21"/>
        <v>-65016</v>
      </c>
      <c r="M331" s="6">
        <f>_xlfn.XLOOKUP(E331, Products!A:A, Products!E:E)</f>
        <v>115</v>
      </c>
      <c r="N331" s="6">
        <f t="shared" si="22"/>
        <v>345</v>
      </c>
      <c r="O331" s="8">
        <f t="shared" si="23"/>
        <v>-65361</v>
      </c>
      <c r="Q331" s="8"/>
      <c r="R331" s="8"/>
    </row>
    <row r="332" spans="1:18">
      <c r="A332" s="4">
        <v>100727</v>
      </c>
      <c r="B332" s="1">
        <v>45505</v>
      </c>
      <c r="C332" s="1">
        <v>45298</v>
      </c>
      <c r="D332" t="s">
        <v>38</v>
      </c>
      <c r="E332" t="s">
        <v>137</v>
      </c>
      <c r="F332">
        <v>3</v>
      </c>
      <c r="G332">
        <v>662</v>
      </c>
      <c r="H332">
        <v>5</v>
      </c>
      <c r="I332" t="s">
        <v>29</v>
      </c>
      <c r="J332" t="s">
        <v>16</v>
      </c>
      <c r="K332" s="6">
        <f t="shared" si="20"/>
        <v>1986</v>
      </c>
      <c r="L332" s="6">
        <f t="shared" si="21"/>
        <v>-7944</v>
      </c>
      <c r="M332" s="6">
        <f>_xlfn.XLOOKUP(E332, Products!A:A, Products!E:E)</f>
        <v>239</v>
      </c>
      <c r="N332" s="6">
        <f t="shared" si="22"/>
        <v>717</v>
      </c>
      <c r="O332" s="8">
        <f t="shared" si="23"/>
        <v>-8661</v>
      </c>
      <c r="Q332" s="8"/>
      <c r="R332" s="8"/>
    </row>
    <row r="333" spans="1:18">
      <c r="A333" s="4">
        <v>100009</v>
      </c>
      <c r="B333" s="1">
        <v>45504</v>
      </c>
      <c r="C333" s="1">
        <v>45296</v>
      </c>
      <c r="D333" t="s">
        <v>35</v>
      </c>
      <c r="E333" t="s">
        <v>24</v>
      </c>
      <c r="F333">
        <v>3</v>
      </c>
      <c r="G333">
        <v>671</v>
      </c>
      <c r="H333">
        <v>15</v>
      </c>
      <c r="I333" t="s">
        <v>19</v>
      </c>
      <c r="J333" t="s">
        <v>16</v>
      </c>
      <c r="K333" s="6">
        <f t="shared" si="20"/>
        <v>2013</v>
      </c>
      <c r="L333" s="6">
        <f t="shared" si="21"/>
        <v>-28182</v>
      </c>
      <c r="M333" s="6">
        <f>_xlfn.XLOOKUP(E333, Products!A:A, Products!E:E)</f>
        <v>105</v>
      </c>
      <c r="N333" s="6">
        <f t="shared" si="22"/>
        <v>315</v>
      </c>
      <c r="O333" s="8">
        <f t="shared" si="23"/>
        <v>-28497</v>
      </c>
      <c r="Q333" s="8"/>
      <c r="R333" s="8"/>
    </row>
    <row r="334" spans="1:18">
      <c r="A334" s="4">
        <v>100054</v>
      </c>
      <c r="B334" s="1">
        <v>45503</v>
      </c>
      <c r="C334" s="1">
        <v>45295</v>
      </c>
      <c r="D334" t="s">
        <v>109</v>
      </c>
      <c r="E334" t="s">
        <v>110</v>
      </c>
      <c r="F334">
        <v>3</v>
      </c>
      <c r="G334">
        <v>801</v>
      </c>
      <c r="H334">
        <v>10</v>
      </c>
      <c r="I334" t="s">
        <v>32</v>
      </c>
      <c r="J334" t="s">
        <v>26</v>
      </c>
      <c r="K334" s="6">
        <f t="shared" si="20"/>
        <v>2403</v>
      </c>
      <c r="L334" s="6">
        <f t="shared" si="21"/>
        <v>-21627</v>
      </c>
      <c r="M334" s="6">
        <f>_xlfn.XLOOKUP(E334, Products!A:A, Products!E:E)</f>
        <v>124</v>
      </c>
      <c r="N334" s="6">
        <f t="shared" si="22"/>
        <v>372</v>
      </c>
      <c r="O334" s="8">
        <f t="shared" si="23"/>
        <v>-21999</v>
      </c>
      <c r="Q334" s="8"/>
      <c r="R334" s="8"/>
    </row>
    <row r="335" spans="1:18">
      <c r="A335" s="4">
        <v>100121</v>
      </c>
      <c r="B335" s="1">
        <v>45503</v>
      </c>
      <c r="C335" s="1">
        <v>45300</v>
      </c>
      <c r="D335" t="s">
        <v>130</v>
      </c>
      <c r="E335" t="s">
        <v>61</v>
      </c>
      <c r="F335">
        <v>3</v>
      </c>
      <c r="G335">
        <v>441</v>
      </c>
      <c r="H335">
        <v>10</v>
      </c>
      <c r="I335" t="s">
        <v>12</v>
      </c>
      <c r="J335" t="s">
        <v>26</v>
      </c>
      <c r="K335" s="6">
        <f t="shared" si="20"/>
        <v>1323</v>
      </c>
      <c r="L335" s="6">
        <f t="shared" si="21"/>
        <v>-11907</v>
      </c>
      <c r="M335" s="6">
        <f>_xlfn.XLOOKUP(E335, Products!A:A, Products!E:E)</f>
        <v>65</v>
      </c>
      <c r="N335" s="6">
        <f t="shared" si="22"/>
        <v>195</v>
      </c>
      <c r="O335" s="8">
        <f t="shared" si="23"/>
        <v>-12102</v>
      </c>
      <c r="Q335" s="8"/>
      <c r="R335" s="8"/>
    </row>
    <row r="336" spans="1:18">
      <c r="A336" s="4">
        <v>100362</v>
      </c>
      <c r="B336" s="1">
        <v>45503</v>
      </c>
      <c r="C336" s="1">
        <v>45300</v>
      </c>
      <c r="D336" t="s">
        <v>324</v>
      </c>
      <c r="E336" t="s">
        <v>145</v>
      </c>
      <c r="F336">
        <v>3</v>
      </c>
      <c r="G336">
        <v>1315</v>
      </c>
      <c r="H336">
        <v>0</v>
      </c>
      <c r="I336" t="s">
        <v>29</v>
      </c>
      <c r="J336" t="s">
        <v>13</v>
      </c>
      <c r="K336" s="6">
        <f t="shared" si="20"/>
        <v>3945</v>
      </c>
      <c r="L336" s="6">
        <f t="shared" si="21"/>
        <v>3945</v>
      </c>
      <c r="M336" s="6">
        <f>_xlfn.XLOOKUP(E336, Products!A:A, Products!E:E)</f>
        <v>247</v>
      </c>
      <c r="N336" s="6">
        <f t="shared" si="22"/>
        <v>741</v>
      </c>
      <c r="O336" s="8">
        <f t="shared" si="23"/>
        <v>3204</v>
      </c>
      <c r="Q336" s="8"/>
      <c r="R336" s="8"/>
    </row>
    <row r="337" spans="1:18">
      <c r="A337" s="4">
        <v>100803</v>
      </c>
      <c r="B337" s="1">
        <v>45501</v>
      </c>
      <c r="C337" s="1">
        <v>45297</v>
      </c>
      <c r="D337" t="s">
        <v>188</v>
      </c>
      <c r="E337" t="s">
        <v>59</v>
      </c>
      <c r="F337">
        <v>3</v>
      </c>
      <c r="G337">
        <v>1024</v>
      </c>
      <c r="H337">
        <v>0</v>
      </c>
      <c r="I337" t="s">
        <v>19</v>
      </c>
      <c r="J337" t="s">
        <v>16</v>
      </c>
      <c r="K337" s="6">
        <f t="shared" si="20"/>
        <v>3072</v>
      </c>
      <c r="L337" s="6">
        <f t="shared" si="21"/>
        <v>3072</v>
      </c>
      <c r="M337" s="6">
        <f>_xlfn.XLOOKUP(E337, Products!A:A, Products!E:E)</f>
        <v>116</v>
      </c>
      <c r="N337" s="6">
        <f t="shared" si="22"/>
        <v>348</v>
      </c>
      <c r="O337" s="8">
        <f t="shared" si="23"/>
        <v>2724</v>
      </c>
      <c r="Q337" s="8"/>
      <c r="R337" s="8"/>
    </row>
    <row r="338" spans="1:18">
      <c r="A338" s="4">
        <v>100259</v>
      </c>
      <c r="B338" s="1">
        <v>45501</v>
      </c>
      <c r="C338" s="1">
        <v>45296</v>
      </c>
      <c r="D338" t="s">
        <v>275</v>
      </c>
      <c r="E338" t="s">
        <v>108</v>
      </c>
      <c r="F338">
        <v>3</v>
      </c>
      <c r="G338">
        <v>321</v>
      </c>
      <c r="H338">
        <v>0</v>
      </c>
      <c r="I338" t="s">
        <v>19</v>
      </c>
      <c r="J338" t="s">
        <v>26</v>
      </c>
      <c r="K338" s="6">
        <f t="shared" si="20"/>
        <v>963</v>
      </c>
      <c r="L338" s="6">
        <f t="shared" si="21"/>
        <v>963</v>
      </c>
      <c r="M338" s="6">
        <f>_xlfn.XLOOKUP(E338, Products!A:A, Products!E:E)</f>
        <v>237</v>
      </c>
      <c r="N338" s="6">
        <f t="shared" si="22"/>
        <v>711</v>
      </c>
      <c r="O338" s="8">
        <f t="shared" si="23"/>
        <v>252</v>
      </c>
      <c r="Q338" s="8"/>
      <c r="R338" s="8"/>
    </row>
    <row r="339" spans="1:18">
      <c r="A339" s="4">
        <v>100974</v>
      </c>
      <c r="B339" s="1">
        <v>45500</v>
      </c>
      <c r="C339" s="1">
        <v>45297</v>
      </c>
      <c r="D339" t="s">
        <v>240</v>
      </c>
      <c r="E339" t="s">
        <v>46</v>
      </c>
      <c r="F339">
        <v>3</v>
      </c>
      <c r="G339">
        <v>1331</v>
      </c>
      <c r="H339">
        <v>5</v>
      </c>
      <c r="I339" t="s">
        <v>29</v>
      </c>
      <c r="J339" t="s">
        <v>13</v>
      </c>
      <c r="K339" s="6">
        <f t="shared" si="20"/>
        <v>3993</v>
      </c>
      <c r="L339" s="6">
        <f t="shared" si="21"/>
        <v>-15972</v>
      </c>
      <c r="M339" s="6">
        <f>_xlfn.XLOOKUP(E339, Products!A:A, Products!E:E)</f>
        <v>191</v>
      </c>
      <c r="N339" s="6">
        <f t="shared" si="22"/>
        <v>573</v>
      </c>
      <c r="O339" s="8">
        <f t="shared" si="23"/>
        <v>-16545</v>
      </c>
      <c r="Q339" s="8"/>
      <c r="R339" s="8"/>
    </row>
    <row r="340" spans="1:18">
      <c r="A340" s="4">
        <v>100224</v>
      </c>
      <c r="B340" s="1">
        <v>45500</v>
      </c>
      <c r="C340" s="1">
        <v>45300</v>
      </c>
      <c r="D340" t="s">
        <v>98</v>
      </c>
      <c r="E340" t="s">
        <v>69</v>
      </c>
      <c r="F340">
        <v>3</v>
      </c>
      <c r="G340">
        <v>258</v>
      </c>
      <c r="H340">
        <v>5</v>
      </c>
      <c r="I340" t="s">
        <v>12</v>
      </c>
      <c r="J340" t="s">
        <v>16</v>
      </c>
      <c r="K340" s="6">
        <f t="shared" si="20"/>
        <v>774</v>
      </c>
      <c r="L340" s="6">
        <f t="shared" si="21"/>
        <v>-3096</v>
      </c>
      <c r="M340" s="6">
        <f>_xlfn.XLOOKUP(E340, Products!A:A, Products!E:E)</f>
        <v>82</v>
      </c>
      <c r="N340" s="6">
        <f t="shared" si="22"/>
        <v>246</v>
      </c>
      <c r="O340" s="8">
        <f t="shared" si="23"/>
        <v>-3342</v>
      </c>
      <c r="Q340" s="8"/>
      <c r="R340" s="8"/>
    </row>
    <row r="341" spans="1:18">
      <c r="A341" s="4">
        <v>100529</v>
      </c>
      <c r="B341" s="1">
        <v>45500</v>
      </c>
      <c r="C341" s="1">
        <v>45299</v>
      </c>
      <c r="D341" t="s">
        <v>349</v>
      </c>
      <c r="E341" t="s">
        <v>112</v>
      </c>
      <c r="F341">
        <v>3</v>
      </c>
      <c r="G341">
        <v>1249</v>
      </c>
      <c r="H341">
        <v>0</v>
      </c>
      <c r="I341" t="s">
        <v>32</v>
      </c>
      <c r="J341" t="s">
        <v>22</v>
      </c>
      <c r="K341" s="6">
        <f t="shared" si="20"/>
        <v>3747</v>
      </c>
      <c r="L341" s="6">
        <f t="shared" si="21"/>
        <v>3747</v>
      </c>
      <c r="M341" s="6">
        <f>_xlfn.XLOOKUP(E341, Products!A:A, Products!E:E)</f>
        <v>72</v>
      </c>
      <c r="N341" s="6">
        <f t="shared" si="22"/>
        <v>216</v>
      </c>
      <c r="O341" s="8">
        <f t="shared" si="23"/>
        <v>3531</v>
      </c>
      <c r="Q341" s="8"/>
      <c r="R341" s="8"/>
    </row>
    <row r="342" spans="1:18">
      <c r="A342" s="4">
        <v>100731</v>
      </c>
      <c r="B342" s="1">
        <v>45500</v>
      </c>
      <c r="C342" s="1">
        <v>45298</v>
      </c>
      <c r="D342" t="s">
        <v>309</v>
      </c>
      <c r="E342" t="s">
        <v>18</v>
      </c>
      <c r="F342">
        <v>3</v>
      </c>
      <c r="G342">
        <v>783</v>
      </c>
      <c r="H342">
        <v>5</v>
      </c>
      <c r="I342" t="s">
        <v>12</v>
      </c>
      <c r="J342" t="s">
        <v>16</v>
      </c>
      <c r="K342" s="6">
        <f t="shared" si="20"/>
        <v>2349</v>
      </c>
      <c r="L342" s="6">
        <f t="shared" si="21"/>
        <v>-9396</v>
      </c>
      <c r="M342" s="6">
        <f>_xlfn.XLOOKUP(E342, Products!A:A, Products!E:E)</f>
        <v>222</v>
      </c>
      <c r="N342" s="6">
        <f t="shared" si="22"/>
        <v>666</v>
      </c>
      <c r="O342" s="8">
        <f t="shared" si="23"/>
        <v>-10062</v>
      </c>
      <c r="Q342" s="8"/>
      <c r="R342" s="8"/>
    </row>
    <row r="343" spans="1:18">
      <c r="A343" s="4">
        <v>100192</v>
      </c>
      <c r="B343" s="1">
        <v>45498</v>
      </c>
      <c r="C343" s="1">
        <v>45296</v>
      </c>
      <c r="D343" t="s">
        <v>240</v>
      </c>
      <c r="E343" t="s">
        <v>80</v>
      </c>
      <c r="F343">
        <v>3</v>
      </c>
      <c r="G343">
        <v>1021</v>
      </c>
      <c r="H343">
        <v>5</v>
      </c>
      <c r="I343" t="s">
        <v>19</v>
      </c>
      <c r="J343" t="s">
        <v>13</v>
      </c>
      <c r="K343" s="6">
        <f t="shared" si="20"/>
        <v>3063</v>
      </c>
      <c r="L343" s="6">
        <f t="shared" si="21"/>
        <v>-12252</v>
      </c>
      <c r="M343" s="6">
        <f>_xlfn.XLOOKUP(E343, Products!A:A, Products!E:E)</f>
        <v>71</v>
      </c>
      <c r="N343" s="6">
        <f t="shared" si="22"/>
        <v>213</v>
      </c>
      <c r="O343" s="8">
        <f t="shared" si="23"/>
        <v>-12465</v>
      </c>
      <c r="Q343" s="8"/>
      <c r="R343" s="8"/>
    </row>
    <row r="344" spans="1:18">
      <c r="A344" s="4">
        <v>100621</v>
      </c>
      <c r="B344" s="1">
        <v>45498</v>
      </c>
      <c r="C344" s="1">
        <v>45298</v>
      </c>
      <c r="D344" t="s">
        <v>310</v>
      </c>
      <c r="E344" t="s">
        <v>242</v>
      </c>
      <c r="F344">
        <v>3</v>
      </c>
      <c r="G344">
        <v>1412</v>
      </c>
      <c r="H344">
        <v>5</v>
      </c>
      <c r="I344" t="s">
        <v>19</v>
      </c>
      <c r="J344" t="s">
        <v>13</v>
      </c>
      <c r="K344" s="6">
        <f t="shared" si="20"/>
        <v>4236</v>
      </c>
      <c r="L344" s="6">
        <f t="shared" si="21"/>
        <v>-16944</v>
      </c>
      <c r="M344" s="6">
        <f>_xlfn.XLOOKUP(E344, Products!A:A, Products!E:E)</f>
        <v>140</v>
      </c>
      <c r="N344" s="6">
        <f t="shared" si="22"/>
        <v>420</v>
      </c>
      <c r="O344" s="8">
        <f t="shared" si="23"/>
        <v>-17364</v>
      </c>
      <c r="Q344" s="8"/>
      <c r="R344" s="8"/>
    </row>
    <row r="345" spans="1:18">
      <c r="A345" s="4">
        <v>100421</v>
      </c>
      <c r="B345" s="1">
        <v>45498</v>
      </c>
      <c r="C345" s="1">
        <v>45297</v>
      </c>
      <c r="D345" t="s">
        <v>271</v>
      </c>
      <c r="E345" t="s">
        <v>97</v>
      </c>
      <c r="F345">
        <v>3</v>
      </c>
      <c r="G345">
        <v>1538</v>
      </c>
      <c r="H345">
        <v>10</v>
      </c>
      <c r="I345" t="s">
        <v>12</v>
      </c>
      <c r="J345" t="s">
        <v>26</v>
      </c>
      <c r="K345" s="6">
        <f t="shared" si="20"/>
        <v>4614</v>
      </c>
      <c r="L345" s="6">
        <f t="shared" si="21"/>
        <v>-41526</v>
      </c>
      <c r="M345" s="6">
        <f>_xlfn.XLOOKUP(E345, Products!A:A, Products!E:E)</f>
        <v>229</v>
      </c>
      <c r="N345" s="6">
        <f t="shared" si="22"/>
        <v>687</v>
      </c>
      <c r="O345" s="8">
        <f t="shared" si="23"/>
        <v>-42213</v>
      </c>
      <c r="Q345" s="8"/>
      <c r="R345" s="8"/>
    </row>
    <row r="346" spans="1:18">
      <c r="A346" s="4">
        <v>100800</v>
      </c>
      <c r="B346" s="1">
        <v>45497</v>
      </c>
      <c r="C346" s="1">
        <v>45300</v>
      </c>
      <c r="D346" t="s">
        <v>279</v>
      </c>
      <c r="E346" t="s">
        <v>298</v>
      </c>
      <c r="F346">
        <v>3</v>
      </c>
      <c r="G346">
        <v>1327</v>
      </c>
      <c r="H346">
        <v>0</v>
      </c>
      <c r="I346" t="s">
        <v>12</v>
      </c>
      <c r="J346" t="s">
        <v>16</v>
      </c>
      <c r="K346" s="6">
        <f t="shared" si="20"/>
        <v>3981</v>
      </c>
      <c r="L346" s="6">
        <f t="shared" si="21"/>
        <v>3981</v>
      </c>
      <c r="M346" s="6">
        <f>_xlfn.XLOOKUP(E346, Products!A:A, Products!E:E)</f>
        <v>171</v>
      </c>
      <c r="N346" s="6">
        <f t="shared" si="22"/>
        <v>513</v>
      </c>
      <c r="O346" s="8">
        <f t="shared" si="23"/>
        <v>3468</v>
      </c>
      <c r="Q346" s="8"/>
      <c r="R346" s="8"/>
    </row>
    <row r="347" spans="1:18">
      <c r="A347" s="4">
        <v>100745</v>
      </c>
      <c r="B347" s="1">
        <v>45495</v>
      </c>
      <c r="C347" s="1">
        <v>45294</v>
      </c>
      <c r="D347" t="s">
        <v>246</v>
      </c>
      <c r="E347" t="s">
        <v>139</v>
      </c>
      <c r="F347">
        <v>3</v>
      </c>
      <c r="G347">
        <v>1724</v>
      </c>
      <c r="H347">
        <v>10</v>
      </c>
      <c r="I347" t="s">
        <v>12</v>
      </c>
      <c r="J347" t="s">
        <v>16</v>
      </c>
      <c r="K347" s="6">
        <f t="shared" si="20"/>
        <v>5172</v>
      </c>
      <c r="L347" s="6">
        <f t="shared" si="21"/>
        <v>-46548</v>
      </c>
      <c r="M347" s="6">
        <f>_xlfn.XLOOKUP(E347, Products!A:A, Products!E:E)</f>
        <v>280</v>
      </c>
      <c r="N347" s="6">
        <f t="shared" si="22"/>
        <v>840</v>
      </c>
      <c r="O347" s="8">
        <f t="shared" si="23"/>
        <v>-47388</v>
      </c>
      <c r="Q347" s="8"/>
      <c r="R347" s="8"/>
    </row>
    <row r="348" spans="1:18">
      <c r="A348" s="4">
        <v>100298</v>
      </c>
      <c r="B348" s="1">
        <v>45493</v>
      </c>
      <c r="C348" s="1">
        <v>45302</v>
      </c>
      <c r="D348" t="s">
        <v>295</v>
      </c>
      <c r="E348" t="s">
        <v>93</v>
      </c>
      <c r="F348">
        <v>3</v>
      </c>
      <c r="G348">
        <v>1400</v>
      </c>
      <c r="H348">
        <v>5</v>
      </c>
      <c r="I348" t="s">
        <v>12</v>
      </c>
      <c r="J348" t="s">
        <v>26</v>
      </c>
      <c r="K348" s="6">
        <f t="shared" si="20"/>
        <v>4200</v>
      </c>
      <c r="L348" s="6">
        <f t="shared" si="21"/>
        <v>-16800</v>
      </c>
      <c r="M348" s="6">
        <f>_xlfn.XLOOKUP(E348, Products!A:A, Products!E:E)</f>
        <v>222</v>
      </c>
      <c r="N348" s="6">
        <f t="shared" si="22"/>
        <v>666</v>
      </c>
      <c r="O348" s="8">
        <f t="shared" si="23"/>
        <v>-17466</v>
      </c>
      <c r="Q348" s="8"/>
      <c r="R348" s="8"/>
    </row>
    <row r="349" spans="1:18">
      <c r="A349" s="4">
        <v>100229</v>
      </c>
      <c r="B349" s="1">
        <v>45493</v>
      </c>
      <c r="C349" s="1">
        <v>45301</v>
      </c>
      <c r="D349" t="s">
        <v>229</v>
      </c>
      <c r="E349" t="s">
        <v>260</v>
      </c>
      <c r="F349">
        <v>3</v>
      </c>
      <c r="G349">
        <v>1995</v>
      </c>
      <c r="H349">
        <v>5</v>
      </c>
      <c r="I349" t="s">
        <v>19</v>
      </c>
      <c r="J349" t="s">
        <v>26</v>
      </c>
      <c r="K349" s="6">
        <f t="shared" si="20"/>
        <v>5985</v>
      </c>
      <c r="L349" s="6">
        <f t="shared" si="21"/>
        <v>-23940</v>
      </c>
      <c r="M349" s="6">
        <f>_xlfn.XLOOKUP(E349, Products!A:A, Products!E:E)</f>
        <v>222</v>
      </c>
      <c r="N349" s="6">
        <f t="shared" si="22"/>
        <v>666</v>
      </c>
      <c r="O349" s="8">
        <f t="shared" si="23"/>
        <v>-24606</v>
      </c>
      <c r="Q349" s="8"/>
      <c r="R349" s="8"/>
    </row>
    <row r="350" spans="1:18">
      <c r="A350" s="4">
        <v>100124</v>
      </c>
      <c r="B350" s="1">
        <v>45492</v>
      </c>
      <c r="C350" s="1">
        <v>45294</v>
      </c>
      <c r="D350" t="s">
        <v>191</v>
      </c>
      <c r="E350" t="s">
        <v>24</v>
      </c>
      <c r="F350">
        <v>3</v>
      </c>
      <c r="G350">
        <v>1503</v>
      </c>
      <c r="H350">
        <v>0</v>
      </c>
      <c r="I350" t="s">
        <v>29</v>
      </c>
      <c r="J350" t="s">
        <v>22</v>
      </c>
      <c r="K350" s="6">
        <f t="shared" si="20"/>
        <v>4509</v>
      </c>
      <c r="L350" s="6">
        <f t="shared" si="21"/>
        <v>4509</v>
      </c>
      <c r="M350" s="6">
        <f>_xlfn.XLOOKUP(E350, Products!A:A, Products!E:E)</f>
        <v>105</v>
      </c>
      <c r="N350" s="6">
        <f t="shared" si="22"/>
        <v>315</v>
      </c>
      <c r="O350" s="8">
        <f t="shared" si="23"/>
        <v>4194</v>
      </c>
      <c r="Q350" s="8"/>
      <c r="R350" s="8"/>
    </row>
    <row r="351" spans="1:18">
      <c r="A351" s="4">
        <v>100703</v>
      </c>
      <c r="B351" s="1">
        <v>45491</v>
      </c>
      <c r="C351" s="1">
        <v>45295</v>
      </c>
      <c r="D351" t="s">
        <v>392</v>
      </c>
      <c r="E351" t="s">
        <v>56</v>
      </c>
      <c r="F351">
        <v>3</v>
      </c>
      <c r="G351">
        <v>387</v>
      </c>
      <c r="H351">
        <v>10</v>
      </c>
      <c r="I351" t="s">
        <v>19</v>
      </c>
      <c r="J351" t="s">
        <v>26</v>
      </c>
      <c r="K351" s="6">
        <f t="shared" si="20"/>
        <v>1161</v>
      </c>
      <c r="L351" s="6">
        <f t="shared" si="21"/>
        <v>-10449</v>
      </c>
      <c r="M351" s="6">
        <f>_xlfn.XLOOKUP(E351, Products!A:A, Products!E:E)</f>
        <v>212</v>
      </c>
      <c r="N351" s="6">
        <f t="shared" si="22"/>
        <v>636</v>
      </c>
      <c r="O351" s="8">
        <f t="shared" si="23"/>
        <v>-11085</v>
      </c>
      <c r="Q351" s="8"/>
      <c r="R351" s="8"/>
    </row>
    <row r="352" spans="1:18">
      <c r="A352" s="4">
        <v>100248</v>
      </c>
      <c r="B352" s="1">
        <v>45489</v>
      </c>
      <c r="C352" s="1">
        <v>45296</v>
      </c>
      <c r="D352" t="s">
        <v>250</v>
      </c>
      <c r="E352" t="s">
        <v>217</v>
      </c>
      <c r="F352">
        <v>3</v>
      </c>
      <c r="G352">
        <v>912</v>
      </c>
      <c r="H352">
        <v>10</v>
      </c>
      <c r="I352" t="s">
        <v>29</v>
      </c>
      <c r="J352" t="s">
        <v>13</v>
      </c>
      <c r="K352" s="6">
        <f t="shared" si="20"/>
        <v>2736</v>
      </c>
      <c r="L352" s="6">
        <f t="shared" si="21"/>
        <v>-24624</v>
      </c>
      <c r="M352" s="6">
        <f>_xlfn.XLOOKUP(E352, Products!A:A, Products!E:E)</f>
        <v>223</v>
      </c>
      <c r="N352" s="6">
        <f t="shared" si="22"/>
        <v>669</v>
      </c>
      <c r="O352" s="8">
        <f t="shared" si="23"/>
        <v>-25293</v>
      </c>
      <c r="Q352" s="8"/>
      <c r="R352" s="8"/>
    </row>
    <row r="353" spans="1:18">
      <c r="A353" s="4">
        <v>100206</v>
      </c>
      <c r="B353" s="1">
        <v>45488</v>
      </c>
      <c r="C353" s="1">
        <v>45297</v>
      </c>
      <c r="D353" t="s">
        <v>250</v>
      </c>
      <c r="E353" t="s">
        <v>176</v>
      </c>
      <c r="F353">
        <v>3</v>
      </c>
      <c r="G353">
        <v>999</v>
      </c>
      <c r="H353">
        <v>10</v>
      </c>
      <c r="I353" t="s">
        <v>32</v>
      </c>
      <c r="J353" t="s">
        <v>16</v>
      </c>
      <c r="K353" s="6">
        <f t="shared" si="20"/>
        <v>2997</v>
      </c>
      <c r="L353" s="6">
        <f t="shared" si="21"/>
        <v>-26973</v>
      </c>
      <c r="M353" s="6">
        <f>_xlfn.XLOOKUP(E353, Products!A:A, Products!E:E)</f>
        <v>61</v>
      </c>
      <c r="N353" s="6">
        <f t="shared" si="22"/>
        <v>183</v>
      </c>
      <c r="O353" s="8">
        <f t="shared" si="23"/>
        <v>-27156</v>
      </c>
      <c r="Q353" s="8"/>
      <c r="R353" s="8"/>
    </row>
    <row r="354" spans="1:18">
      <c r="A354" s="4">
        <v>100861</v>
      </c>
      <c r="B354" s="1">
        <v>45486</v>
      </c>
      <c r="C354" s="1">
        <v>45299</v>
      </c>
      <c r="D354" t="s">
        <v>301</v>
      </c>
      <c r="E354" t="s">
        <v>15</v>
      </c>
      <c r="F354">
        <v>3</v>
      </c>
      <c r="G354">
        <v>763</v>
      </c>
      <c r="H354">
        <v>0</v>
      </c>
      <c r="I354" t="s">
        <v>12</v>
      </c>
      <c r="J354" t="s">
        <v>26</v>
      </c>
      <c r="K354" s="6">
        <f t="shared" si="20"/>
        <v>2289</v>
      </c>
      <c r="L354" s="6">
        <f t="shared" si="21"/>
        <v>2289</v>
      </c>
      <c r="M354" s="6">
        <f>_xlfn.XLOOKUP(E354, Products!A:A, Products!E:E)</f>
        <v>242</v>
      </c>
      <c r="N354" s="6">
        <f t="shared" si="22"/>
        <v>726</v>
      </c>
      <c r="O354" s="8">
        <f t="shared" si="23"/>
        <v>1563</v>
      </c>
      <c r="Q354" s="8"/>
      <c r="R354" s="8"/>
    </row>
    <row r="355" spans="1:18">
      <c r="A355" s="4">
        <v>100525</v>
      </c>
      <c r="B355" s="1">
        <v>45486</v>
      </c>
      <c r="C355" s="1">
        <v>45295</v>
      </c>
      <c r="D355" t="s">
        <v>272</v>
      </c>
      <c r="E355" t="s">
        <v>269</v>
      </c>
      <c r="F355">
        <v>3</v>
      </c>
      <c r="G355">
        <v>1080</v>
      </c>
      <c r="H355">
        <v>0</v>
      </c>
      <c r="I355" t="s">
        <v>12</v>
      </c>
      <c r="J355" t="s">
        <v>13</v>
      </c>
      <c r="K355" s="6">
        <f t="shared" si="20"/>
        <v>3240</v>
      </c>
      <c r="L355" s="6">
        <f t="shared" si="21"/>
        <v>3240</v>
      </c>
      <c r="M355" s="6">
        <f>_xlfn.XLOOKUP(E355, Products!A:A, Products!E:E)</f>
        <v>128</v>
      </c>
      <c r="N355" s="6">
        <f t="shared" si="22"/>
        <v>384</v>
      </c>
      <c r="O355" s="8">
        <f t="shared" si="23"/>
        <v>2856</v>
      </c>
      <c r="Q355" s="8"/>
      <c r="R355" s="8"/>
    </row>
    <row r="356" spans="1:18">
      <c r="A356" s="4">
        <v>100489</v>
      </c>
      <c r="B356" s="1">
        <v>45485</v>
      </c>
      <c r="C356" s="1">
        <v>45297</v>
      </c>
      <c r="D356" t="s">
        <v>72</v>
      </c>
      <c r="E356" t="s">
        <v>265</v>
      </c>
      <c r="F356">
        <v>3</v>
      </c>
      <c r="G356">
        <v>956</v>
      </c>
      <c r="H356">
        <v>0</v>
      </c>
      <c r="I356" t="s">
        <v>19</v>
      </c>
      <c r="J356" t="s">
        <v>16</v>
      </c>
      <c r="K356" s="6">
        <f t="shared" si="20"/>
        <v>2868</v>
      </c>
      <c r="L356" s="6">
        <f t="shared" si="21"/>
        <v>2868</v>
      </c>
      <c r="M356" s="6">
        <f>_xlfn.XLOOKUP(E356, Products!A:A, Products!E:E)</f>
        <v>218</v>
      </c>
      <c r="N356" s="6">
        <f t="shared" si="22"/>
        <v>654</v>
      </c>
      <c r="O356" s="8">
        <f t="shared" si="23"/>
        <v>2214</v>
      </c>
      <c r="Q356" s="8"/>
      <c r="R356" s="8"/>
    </row>
    <row r="357" spans="1:18">
      <c r="A357" s="4">
        <v>100766</v>
      </c>
      <c r="B357" s="1">
        <v>45484</v>
      </c>
      <c r="C357" s="1">
        <v>45302</v>
      </c>
      <c r="D357" t="s">
        <v>218</v>
      </c>
      <c r="E357" t="s">
        <v>138</v>
      </c>
      <c r="F357">
        <v>3</v>
      </c>
      <c r="G357">
        <v>453</v>
      </c>
      <c r="H357">
        <v>5</v>
      </c>
      <c r="I357" t="s">
        <v>12</v>
      </c>
      <c r="J357" t="s">
        <v>13</v>
      </c>
      <c r="K357" s="6">
        <f t="shared" si="20"/>
        <v>1359</v>
      </c>
      <c r="L357" s="6">
        <f t="shared" si="21"/>
        <v>-5436</v>
      </c>
      <c r="M357" s="6">
        <f>_xlfn.XLOOKUP(E357, Products!A:A, Products!E:E)</f>
        <v>186</v>
      </c>
      <c r="N357" s="6">
        <f t="shared" si="22"/>
        <v>558</v>
      </c>
      <c r="O357" s="8">
        <f t="shared" si="23"/>
        <v>-5994</v>
      </c>
      <c r="Q357" s="8"/>
      <c r="R357" s="8"/>
    </row>
    <row r="358" spans="1:18">
      <c r="A358" s="4">
        <v>100877</v>
      </c>
      <c r="B358" s="1">
        <v>45481</v>
      </c>
      <c r="C358" s="1">
        <v>45297</v>
      </c>
      <c r="D358" t="s">
        <v>219</v>
      </c>
      <c r="E358" t="s">
        <v>11</v>
      </c>
      <c r="F358">
        <v>3</v>
      </c>
      <c r="G358">
        <v>224</v>
      </c>
      <c r="H358">
        <v>5</v>
      </c>
      <c r="I358" t="s">
        <v>32</v>
      </c>
      <c r="J358" t="s">
        <v>22</v>
      </c>
      <c r="K358" s="6">
        <f t="shared" si="20"/>
        <v>672</v>
      </c>
      <c r="L358" s="6">
        <f t="shared" si="21"/>
        <v>-2688</v>
      </c>
      <c r="M358" s="6">
        <f>_xlfn.XLOOKUP(E358, Products!A:A, Products!E:E)</f>
        <v>144</v>
      </c>
      <c r="N358" s="6">
        <f t="shared" si="22"/>
        <v>432</v>
      </c>
      <c r="O358" s="8">
        <f t="shared" si="23"/>
        <v>-3120</v>
      </c>
      <c r="Q358" s="8"/>
      <c r="R358" s="8"/>
    </row>
    <row r="359" spans="1:18">
      <c r="A359" s="4">
        <v>100875</v>
      </c>
      <c r="B359" s="1">
        <v>45480</v>
      </c>
      <c r="C359" s="1">
        <v>45300</v>
      </c>
      <c r="D359" t="s">
        <v>405</v>
      </c>
      <c r="E359" t="s">
        <v>281</v>
      </c>
      <c r="F359">
        <v>3</v>
      </c>
      <c r="G359">
        <v>1897</v>
      </c>
      <c r="H359">
        <v>15</v>
      </c>
      <c r="I359" t="s">
        <v>12</v>
      </c>
      <c r="J359" t="s">
        <v>26</v>
      </c>
      <c r="K359" s="6">
        <f t="shared" si="20"/>
        <v>5691</v>
      </c>
      <c r="L359" s="6">
        <f t="shared" si="21"/>
        <v>-79674</v>
      </c>
      <c r="M359" s="6">
        <f>_xlfn.XLOOKUP(E359, Products!A:A, Products!E:E)</f>
        <v>117</v>
      </c>
      <c r="N359" s="6">
        <f t="shared" si="22"/>
        <v>351</v>
      </c>
      <c r="O359" s="8">
        <f t="shared" si="23"/>
        <v>-80025</v>
      </c>
      <c r="Q359" s="8"/>
      <c r="R359" s="8"/>
    </row>
    <row r="360" spans="1:18">
      <c r="A360" s="4">
        <v>100725</v>
      </c>
      <c r="B360" s="1">
        <v>45479</v>
      </c>
      <c r="C360" s="1">
        <v>45294</v>
      </c>
      <c r="D360" t="s">
        <v>160</v>
      </c>
      <c r="E360" t="s">
        <v>224</v>
      </c>
      <c r="F360">
        <v>3</v>
      </c>
      <c r="G360">
        <v>294</v>
      </c>
      <c r="H360">
        <v>5</v>
      </c>
      <c r="I360" t="s">
        <v>29</v>
      </c>
      <c r="J360" t="s">
        <v>22</v>
      </c>
      <c r="K360" s="6">
        <f t="shared" si="20"/>
        <v>882</v>
      </c>
      <c r="L360" s="6">
        <f t="shared" si="21"/>
        <v>-3528</v>
      </c>
      <c r="M360" s="6">
        <f>_xlfn.XLOOKUP(E360, Products!A:A, Products!E:E)</f>
        <v>118</v>
      </c>
      <c r="N360" s="6">
        <f t="shared" si="22"/>
        <v>354</v>
      </c>
      <c r="O360" s="8">
        <f t="shared" si="23"/>
        <v>-3882</v>
      </c>
      <c r="Q360" s="8"/>
      <c r="R360" s="8"/>
    </row>
    <row r="361" spans="1:18">
      <c r="A361" s="4">
        <v>100677</v>
      </c>
      <c r="B361" s="1">
        <v>45478</v>
      </c>
      <c r="C361" s="1">
        <v>45296</v>
      </c>
      <c r="D361" t="s">
        <v>284</v>
      </c>
      <c r="E361" t="s">
        <v>44</v>
      </c>
      <c r="F361">
        <v>3</v>
      </c>
      <c r="G361">
        <v>1089</v>
      </c>
      <c r="H361">
        <v>0</v>
      </c>
      <c r="I361" t="s">
        <v>29</v>
      </c>
      <c r="J361" t="s">
        <v>26</v>
      </c>
      <c r="K361" s="6">
        <f t="shared" si="20"/>
        <v>3267</v>
      </c>
      <c r="L361" s="6">
        <f t="shared" si="21"/>
        <v>3267</v>
      </c>
      <c r="M361" s="6">
        <f>_xlfn.XLOOKUP(E361, Products!A:A, Products!E:E)</f>
        <v>204</v>
      </c>
      <c r="N361" s="6">
        <f t="shared" si="22"/>
        <v>612</v>
      </c>
      <c r="O361" s="8">
        <f t="shared" si="23"/>
        <v>2655</v>
      </c>
      <c r="Q361" s="8"/>
      <c r="R361" s="8"/>
    </row>
    <row r="362" spans="1:18">
      <c r="A362" s="4">
        <v>100177</v>
      </c>
      <c r="B362" s="1">
        <v>45478</v>
      </c>
      <c r="C362" s="1">
        <v>45299</v>
      </c>
      <c r="D362" t="s">
        <v>228</v>
      </c>
      <c r="E362" t="s">
        <v>15</v>
      </c>
      <c r="F362">
        <v>3</v>
      </c>
      <c r="G362">
        <v>1119</v>
      </c>
      <c r="H362">
        <v>10</v>
      </c>
      <c r="I362" t="s">
        <v>19</v>
      </c>
      <c r="J362" t="s">
        <v>22</v>
      </c>
      <c r="K362" s="6">
        <f t="shared" si="20"/>
        <v>3357</v>
      </c>
      <c r="L362" s="6">
        <f t="shared" si="21"/>
        <v>-30213</v>
      </c>
      <c r="M362" s="6">
        <f>_xlfn.XLOOKUP(E362, Products!A:A, Products!E:E)</f>
        <v>242</v>
      </c>
      <c r="N362" s="6">
        <f t="shared" si="22"/>
        <v>726</v>
      </c>
      <c r="O362" s="8">
        <f t="shared" si="23"/>
        <v>-30939</v>
      </c>
      <c r="Q362" s="8"/>
      <c r="R362" s="8"/>
    </row>
    <row r="363" spans="1:18">
      <c r="A363" s="4">
        <v>100391</v>
      </c>
      <c r="B363" s="1">
        <v>45477</v>
      </c>
      <c r="C363" s="1">
        <v>45295</v>
      </c>
      <c r="D363" t="s">
        <v>192</v>
      </c>
      <c r="E363" t="s">
        <v>73</v>
      </c>
      <c r="F363">
        <v>3</v>
      </c>
      <c r="G363">
        <v>1788</v>
      </c>
      <c r="H363">
        <v>5</v>
      </c>
      <c r="I363" t="s">
        <v>19</v>
      </c>
      <c r="J363" t="s">
        <v>26</v>
      </c>
      <c r="K363" s="6">
        <f t="shared" si="20"/>
        <v>5364</v>
      </c>
      <c r="L363" s="6">
        <f t="shared" si="21"/>
        <v>-21456</v>
      </c>
      <c r="M363" s="6">
        <f>_xlfn.XLOOKUP(E363, Products!A:A, Products!E:E)</f>
        <v>243</v>
      </c>
      <c r="N363" s="6">
        <f t="shared" si="22"/>
        <v>729</v>
      </c>
      <c r="O363" s="8">
        <f t="shared" si="23"/>
        <v>-22185</v>
      </c>
      <c r="Q363" s="8"/>
      <c r="R363" s="8"/>
    </row>
    <row r="364" spans="1:18">
      <c r="A364" s="4">
        <v>100164</v>
      </c>
      <c r="B364" s="1">
        <v>45477</v>
      </c>
      <c r="C364" s="1">
        <v>45294</v>
      </c>
      <c r="D364" t="s">
        <v>223</v>
      </c>
      <c r="E364" t="s">
        <v>34</v>
      </c>
      <c r="F364">
        <v>3</v>
      </c>
      <c r="G364">
        <v>292</v>
      </c>
      <c r="H364">
        <v>5</v>
      </c>
      <c r="I364" t="s">
        <v>32</v>
      </c>
      <c r="J364" t="s">
        <v>26</v>
      </c>
      <c r="K364" s="6">
        <f t="shared" si="20"/>
        <v>876</v>
      </c>
      <c r="L364" s="6">
        <f t="shared" si="21"/>
        <v>-3504</v>
      </c>
      <c r="M364" s="6">
        <f>_xlfn.XLOOKUP(E364, Products!A:A, Products!E:E)</f>
        <v>187</v>
      </c>
      <c r="N364" s="6">
        <f t="shared" si="22"/>
        <v>561</v>
      </c>
      <c r="O364" s="8">
        <f t="shared" si="23"/>
        <v>-4065</v>
      </c>
      <c r="Q364" s="8"/>
      <c r="R364" s="8"/>
    </row>
    <row r="365" spans="1:18">
      <c r="A365" s="4">
        <v>100709</v>
      </c>
      <c r="B365" s="1">
        <v>45475</v>
      </c>
      <c r="C365" s="1">
        <v>45299</v>
      </c>
      <c r="D365" t="s">
        <v>196</v>
      </c>
      <c r="E365" t="s">
        <v>156</v>
      </c>
      <c r="F365">
        <v>3</v>
      </c>
      <c r="G365">
        <v>1104</v>
      </c>
      <c r="H365">
        <v>10</v>
      </c>
      <c r="I365" t="s">
        <v>29</v>
      </c>
      <c r="J365" t="s">
        <v>16</v>
      </c>
      <c r="K365" s="6">
        <f t="shared" si="20"/>
        <v>3312</v>
      </c>
      <c r="L365" s="6">
        <f t="shared" si="21"/>
        <v>-29808</v>
      </c>
      <c r="M365" s="6">
        <f>_xlfn.XLOOKUP(E365, Products!A:A, Products!E:E)</f>
        <v>168</v>
      </c>
      <c r="N365" s="6">
        <f t="shared" si="22"/>
        <v>504</v>
      </c>
      <c r="O365" s="8">
        <f t="shared" si="23"/>
        <v>-30312</v>
      </c>
      <c r="Q365" s="8"/>
      <c r="R365" s="8"/>
    </row>
    <row r="366" spans="1:18">
      <c r="A366" s="4">
        <v>100870</v>
      </c>
      <c r="B366" s="1">
        <v>45472</v>
      </c>
      <c r="C366" s="1">
        <v>45295</v>
      </c>
      <c r="D366" t="s">
        <v>282</v>
      </c>
      <c r="E366" t="s">
        <v>236</v>
      </c>
      <c r="F366">
        <v>3</v>
      </c>
      <c r="G366">
        <v>1345</v>
      </c>
      <c r="H366">
        <v>5</v>
      </c>
      <c r="I366" t="s">
        <v>32</v>
      </c>
      <c r="J366" t="s">
        <v>13</v>
      </c>
      <c r="K366" s="6">
        <f t="shared" si="20"/>
        <v>4035</v>
      </c>
      <c r="L366" s="6">
        <f t="shared" si="21"/>
        <v>-16140</v>
      </c>
      <c r="M366" s="6">
        <f>_xlfn.XLOOKUP(E366, Products!A:A, Products!E:E)</f>
        <v>120</v>
      </c>
      <c r="N366" s="6">
        <f t="shared" si="22"/>
        <v>360</v>
      </c>
      <c r="O366" s="8">
        <f t="shared" si="23"/>
        <v>-16500</v>
      </c>
      <c r="Q366" s="8"/>
      <c r="R366" s="8"/>
    </row>
    <row r="367" spans="1:18">
      <c r="A367" s="4">
        <v>100251</v>
      </c>
      <c r="B367" s="1">
        <v>45472</v>
      </c>
      <c r="C367" s="1">
        <v>45297</v>
      </c>
      <c r="D367" t="s">
        <v>179</v>
      </c>
      <c r="E367" t="s">
        <v>15</v>
      </c>
      <c r="F367">
        <v>3</v>
      </c>
      <c r="G367">
        <v>1349</v>
      </c>
      <c r="H367">
        <v>0</v>
      </c>
      <c r="I367" t="s">
        <v>32</v>
      </c>
      <c r="J367" t="s">
        <v>13</v>
      </c>
      <c r="K367" s="6">
        <f t="shared" si="20"/>
        <v>4047</v>
      </c>
      <c r="L367" s="6">
        <f t="shared" si="21"/>
        <v>4047</v>
      </c>
      <c r="M367" s="6">
        <f>_xlfn.XLOOKUP(E367, Products!A:A, Products!E:E)</f>
        <v>242</v>
      </c>
      <c r="N367" s="6">
        <f t="shared" si="22"/>
        <v>726</v>
      </c>
      <c r="O367" s="8">
        <f t="shared" si="23"/>
        <v>3321</v>
      </c>
      <c r="Q367" s="8"/>
      <c r="R367" s="8"/>
    </row>
    <row r="368" spans="1:18">
      <c r="A368" s="4">
        <v>100476</v>
      </c>
      <c r="B368" s="1">
        <v>45472</v>
      </c>
      <c r="C368" s="1">
        <v>45296</v>
      </c>
      <c r="D368" t="s">
        <v>230</v>
      </c>
      <c r="E368" t="s">
        <v>28</v>
      </c>
      <c r="F368">
        <v>3</v>
      </c>
      <c r="G368">
        <v>1520</v>
      </c>
      <c r="H368">
        <v>10</v>
      </c>
      <c r="I368" t="s">
        <v>19</v>
      </c>
      <c r="J368" t="s">
        <v>16</v>
      </c>
      <c r="K368" s="6">
        <f t="shared" si="20"/>
        <v>4560</v>
      </c>
      <c r="L368" s="6">
        <f t="shared" si="21"/>
        <v>-41040</v>
      </c>
      <c r="M368" s="6">
        <f>_xlfn.XLOOKUP(E368, Products!A:A, Products!E:E)</f>
        <v>160</v>
      </c>
      <c r="N368" s="6">
        <f t="shared" si="22"/>
        <v>480</v>
      </c>
      <c r="O368" s="8">
        <f t="shared" si="23"/>
        <v>-41520</v>
      </c>
      <c r="Q368" s="8"/>
      <c r="R368" s="8"/>
    </row>
    <row r="369" spans="1:18">
      <c r="A369" s="4">
        <v>100062</v>
      </c>
      <c r="B369" s="1">
        <v>45467</v>
      </c>
      <c r="C369" s="1">
        <v>45298</v>
      </c>
      <c r="D369" t="s">
        <v>116</v>
      </c>
      <c r="E369" t="s">
        <v>120</v>
      </c>
      <c r="F369">
        <v>3</v>
      </c>
      <c r="G369">
        <v>1736</v>
      </c>
      <c r="H369">
        <v>10</v>
      </c>
      <c r="I369" t="s">
        <v>12</v>
      </c>
      <c r="J369" t="s">
        <v>22</v>
      </c>
      <c r="K369" s="6">
        <f t="shared" si="20"/>
        <v>5208</v>
      </c>
      <c r="L369" s="6">
        <f t="shared" si="21"/>
        <v>-46872</v>
      </c>
      <c r="M369" s="6">
        <f>_xlfn.XLOOKUP(E369, Products!A:A, Products!E:E)</f>
        <v>52</v>
      </c>
      <c r="N369" s="6">
        <f t="shared" si="22"/>
        <v>156</v>
      </c>
      <c r="O369" s="8">
        <f t="shared" si="23"/>
        <v>-47028</v>
      </c>
      <c r="Q369" s="8"/>
      <c r="R369" s="8"/>
    </row>
    <row r="370" spans="1:18">
      <c r="A370" s="4">
        <v>100456</v>
      </c>
      <c r="B370" s="1">
        <v>45465</v>
      </c>
      <c r="C370" s="1">
        <v>45297</v>
      </c>
      <c r="D370" t="s">
        <v>121</v>
      </c>
      <c r="E370" t="s">
        <v>99</v>
      </c>
      <c r="F370">
        <v>3</v>
      </c>
      <c r="G370">
        <v>1526</v>
      </c>
      <c r="H370">
        <v>10</v>
      </c>
      <c r="I370" t="s">
        <v>12</v>
      </c>
      <c r="J370" t="s">
        <v>13</v>
      </c>
      <c r="K370" s="6">
        <f t="shared" si="20"/>
        <v>4578</v>
      </c>
      <c r="L370" s="6">
        <f t="shared" si="21"/>
        <v>-41202</v>
      </c>
      <c r="M370" s="6">
        <f>_xlfn.XLOOKUP(E370, Products!A:A, Products!E:E)</f>
        <v>145</v>
      </c>
      <c r="N370" s="6">
        <f t="shared" si="22"/>
        <v>435</v>
      </c>
      <c r="O370" s="8">
        <f t="shared" si="23"/>
        <v>-41637</v>
      </c>
      <c r="Q370" s="8"/>
      <c r="R370" s="8"/>
    </row>
    <row r="371" spans="1:18">
      <c r="A371" s="4">
        <v>100107</v>
      </c>
      <c r="B371" s="1">
        <v>45464</v>
      </c>
      <c r="C371" s="1">
        <v>45297</v>
      </c>
      <c r="D371" t="s">
        <v>174</v>
      </c>
      <c r="E371" t="s">
        <v>138</v>
      </c>
      <c r="F371">
        <v>3</v>
      </c>
      <c r="G371">
        <v>1098</v>
      </c>
      <c r="H371">
        <v>0</v>
      </c>
      <c r="I371" t="s">
        <v>12</v>
      </c>
      <c r="J371" t="s">
        <v>26</v>
      </c>
      <c r="K371" s="6">
        <f t="shared" si="20"/>
        <v>3294</v>
      </c>
      <c r="L371" s="6">
        <f t="shared" si="21"/>
        <v>3294</v>
      </c>
      <c r="M371" s="6">
        <f>_xlfn.XLOOKUP(E371, Products!A:A, Products!E:E)</f>
        <v>186</v>
      </c>
      <c r="N371" s="6">
        <f t="shared" si="22"/>
        <v>558</v>
      </c>
      <c r="O371" s="8">
        <f t="shared" si="23"/>
        <v>2736</v>
      </c>
      <c r="Q371" s="8"/>
      <c r="R371" s="8"/>
    </row>
    <row r="372" spans="1:18">
      <c r="A372" s="4">
        <v>100344</v>
      </c>
      <c r="B372" s="1">
        <v>45461</v>
      </c>
      <c r="C372" s="1">
        <v>45300</v>
      </c>
      <c r="D372" t="s">
        <v>315</v>
      </c>
      <c r="E372" t="s">
        <v>260</v>
      </c>
      <c r="F372">
        <v>3</v>
      </c>
      <c r="G372">
        <v>1413</v>
      </c>
      <c r="H372">
        <v>15</v>
      </c>
      <c r="I372" t="s">
        <v>29</v>
      </c>
      <c r="J372" t="s">
        <v>13</v>
      </c>
      <c r="K372" s="6">
        <f t="shared" si="20"/>
        <v>4239</v>
      </c>
      <c r="L372" s="6">
        <f t="shared" si="21"/>
        <v>-59346</v>
      </c>
      <c r="M372" s="6">
        <f>_xlfn.XLOOKUP(E372, Products!A:A, Products!E:E)</f>
        <v>222</v>
      </c>
      <c r="N372" s="6">
        <f t="shared" si="22"/>
        <v>666</v>
      </c>
      <c r="O372" s="8">
        <f t="shared" si="23"/>
        <v>-60012</v>
      </c>
      <c r="Q372" s="8"/>
      <c r="R372" s="8"/>
    </row>
    <row r="373" spans="1:18">
      <c r="A373" s="4">
        <v>100481</v>
      </c>
      <c r="B373" s="1">
        <v>45459</v>
      </c>
      <c r="C373" s="1">
        <v>45300</v>
      </c>
      <c r="D373" t="s">
        <v>240</v>
      </c>
      <c r="E373" t="s">
        <v>145</v>
      </c>
      <c r="F373">
        <v>3</v>
      </c>
      <c r="G373">
        <v>748</v>
      </c>
      <c r="H373">
        <v>10</v>
      </c>
      <c r="I373" t="s">
        <v>32</v>
      </c>
      <c r="J373" t="s">
        <v>13</v>
      </c>
      <c r="K373" s="6">
        <f t="shared" si="20"/>
        <v>2244</v>
      </c>
      <c r="L373" s="6">
        <f t="shared" si="21"/>
        <v>-20196</v>
      </c>
      <c r="M373" s="6">
        <f>_xlfn.XLOOKUP(E373, Products!A:A, Products!E:E)</f>
        <v>247</v>
      </c>
      <c r="N373" s="6">
        <f t="shared" si="22"/>
        <v>741</v>
      </c>
      <c r="O373" s="8">
        <f t="shared" si="23"/>
        <v>-20937</v>
      </c>
      <c r="Q373" s="8"/>
      <c r="R373" s="8"/>
    </row>
    <row r="374" spans="1:18">
      <c r="A374" s="4">
        <v>100108</v>
      </c>
      <c r="B374" s="1">
        <v>45459</v>
      </c>
      <c r="C374" s="1">
        <v>45295</v>
      </c>
      <c r="D374" t="s">
        <v>175</v>
      </c>
      <c r="E374" t="s">
        <v>137</v>
      </c>
      <c r="F374">
        <v>3</v>
      </c>
      <c r="G374">
        <v>1639</v>
      </c>
      <c r="H374">
        <v>0</v>
      </c>
      <c r="I374" t="s">
        <v>29</v>
      </c>
      <c r="J374" t="s">
        <v>13</v>
      </c>
      <c r="K374" s="6">
        <f t="shared" si="20"/>
        <v>4917</v>
      </c>
      <c r="L374" s="6">
        <f t="shared" si="21"/>
        <v>4917</v>
      </c>
      <c r="M374" s="6">
        <f>_xlfn.XLOOKUP(E374, Products!A:A, Products!E:E)</f>
        <v>239</v>
      </c>
      <c r="N374" s="6">
        <f t="shared" si="22"/>
        <v>717</v>
      </c>
      <c r="O374" s="8">
        <f t="shared" si="23"/>
        <v>4200</v>
      </c>
      <c r="Q374" s="8"/>
      <c r="R374" s="8"/>
    </row>
    <row r="375" spans="1:18">
      <c r="A375" s="4">
        <v>100519</v>
      </c>
      <c r="B375" s="1">
        <v>45457</v>
      </c>
      <c r="C375" s="1">
        <v>45301</v>
      </c>
      <c r="D375" t="s">
        <v>198</v>
      </c>
      <c r="E375" t="s">
        <v>83</v>
      </c>
      <c r="F375">
        <v>3</v>
      </c>
      <c r="G375">
        <v>905</v>
      </c>
      <c r="H375">
        <v>0</v>
      </c>
      <c r="I375" t="s">
        <v>19</v>
      </c>
      <c r="J375" t="s">
        <v>16</v>
      </c>
      <c r="K375" s="6">
        <f t="shared" si="20"/>
        <v>2715</v>
      </c>
      <c r="L375" s="6">
        <f t="shared" si="21"/>
        <v>2715</v>
      </c>
      <c r="M375" s="6">
        <f>_xlfn.XLOOKUP(E375, Products!A:A, Products!E:E)</f>
        <v>243</v>
      </c>
      <c r="N375" s="6">
        <f t="shared" si="22"/>
        <v>729</v>
      </c>
      <c r="O375" s="8">
        <f t="shared" si="23"/>
        <v>1986</v>
      </c>
      <c r="Q375" s="8"/>
      <c r="R375" s="8"/>
    </row>
    <row r="376" spans="1:18">
      <c r="A376" s="4">
        <v>100477</v>
      </c>
      <c r="B376" s="1">
        <v>45455</v>
      </c>
      <c r="C376" s="1">
        <v>45294</v>
      </c>
      <c r="D376" t="s">
        <v>23</v>
      </c>
      <c r="E376" t="s">
        <v>180</v>
      </c>
      <c r="F376">
        <v>3</v>
      </c>
      <c r="G376">
        <v>1792</v>
      </c>
      <c r="H376">
        <v>0</v>
      </c>
      <c r="I376" t="s">
        <v>19</v>
      </c>
      <c r="J376" t="s">
        <v>26</v>
      </c>
      <c r="K376" s="6">
        <f t="shared" si="20"/>
        <v>5376</v>
      </c>
      <c r="L376" s="6">
        <f t="shared" si="21"/>
        <v>5376</v>
      </c>
      <c r="M376" s="6">
        <f>_xlfn.XLOOKUP(E376, Products!A:A, Products!E:E)</f>
        <v>81</v>
      </c>
      <c r="N376" s="6">
        <f t="shared" si="22"/>
        <v>243</v>
      </c>
      <c r="O376" s="8">
        <f t="shared" si="23"/>
        <v>5133</v>
      </c>
      <c r="Q376" s="8"/>
      <c r="R376" s="8"/>
    </row>
    <row r="377" spans="1:18">
      <c r="A377" s="4">
        <v>100826</v>
      </c>
      <c r="B377" s="1">
        <v>45454</v>
      </c>
      <c r="C377" s="1">
        <v>45300</v>
      </c>
      <c r="D377" t="s">
        <v>251</v>
      </c>
      <c r="E377" t="s">
        <v>43</v>
      </c>
      <c r="F377">
        <v>3</v>
      </c>
      <c r="G377">
        <v>348</v>
      </c>
      <c r="H377">
        <v>0</v>
      </c>
      <c r="I377" t="s">
        <v>29</v>
      </c>
      <c r="J377" t="s">
        <v>16</v>
      </c>
      <c r="K377" s="6">
        <f t="shared" si="20"/>
        <v>1044</v>
      </c>
      <c r="L377" s="6">
        <f t="shared" si="21"/>
        <v>1044</v>
      </c>
      <c r="M377" s="6">
        <f>_xlfn.XLOOKUP(E377, Products!A:A, Products!E:E)</f>
        <v>228</v>
      </c>
      <c r="N377" s="6">
        <f t="shared" si="22"/>
        <v>684</v>
      </c>
      <c r="O377" s="8">
        <f t="shared" si="23"/>
        <v>360</v>
      </c>
      <c r="Q377" s="8"/>
      <c r="R377" s="8"/>
    </row>
    <row r="378" spans="1:18">
      <c r="A378" s="4">
        <v>100500</v>
      </c>
      <c r="B378" s="1">
        <v>45453</v>
      </c>
      <c r="C378" s="1">
        <v>45295</v>
      </c>
      <c r="D378" t="s">
        <v>336</v>
      </c>
      <c r="E378" t="s">
        <v>164</v>
      </c>
      <c r="F378">
        <v>3</v>
      </c>
      <c r="G378">
        <v>1603</v>
      </c>
      <c r="H378">
        <v>5</v>
      </c>
      <c r="I378" t="s">
        <v>32</v>
      </c>
      <c r="J378" t="s">
        <v>13</v>
      </c>
      <c r="K378" s="6">
        <f t="shared" si="20"/>
        <v>4809</v>
      </c>
      <c r="L378" s="6">
        <f t="shared" si="21"/>
        <v>-19236</v>
      </c>
      <c r="M378" s="6">
        <f>_xlfn.XLOOKUP(E378, Products!A:A, Products!E:E)</f>
        <v>156</v>
      </c>
      <c r="N378" s="6">
        <f t="shared" si="22"/>
        <v>468</v>
      </c>
      <c r="O378" s="8">
        <f t="shared" si="23"/>
        <v>-19704</v>
      </c>
      <c r="Q378" s="8"/>
      <c r="R378" s="8"/>
    </row>
    <row r="379" spans="1:18">
      <c r="A379" s="4">
        <v>100723</v>
      </c>
      <c r="B379" s="1">
        <v>45452</v>
      </c>
      <c r="C379" s="1">
        <v>45295</v>
      </c>
      <c r="D379" t="s">
        <v>292</v>
      </c>
      <c r="E379" t="s">
        <v>21</v>
      </c>
      <c r="F379">
        <v>3</v>
      </c>
      <c r="G379">
        <v>1371</v>
      </c>
      <c r="H379">
        <v>5</v>
      </c>
      <c r="I379" t="s">
        <v>12</v>
      </c>
      <c r="J379" t="s">
        <v>22</v>
      </c>
      <c r="K379" s="6">
        <f t="shared" si="20"/>
        <v>4113</v>
      </c>
      <c r="L379" s="6">
        <f t="shared" si="21"/>
        <v>-16452</v>
      </c>
      <c r="M379" s="6">
        <f>_xlfn.XLOOKUP(E379, Products!A:A, Products!E:E)</f>
        <v>279</v>
      </c>
      <c r="N379" s="6">
        <f t="shared" si="22"/>
        <v>837</v>
      </c>
      <c r="O379" s="8">
        <f t="shared" si="23"/>
        <v>-17289</v>
      </c>
      <c r="Q379" s="8"/>
      <c r="R379" s="8"/>
    </row>
    <row r="380" spans="1:18">
      <c r="A380" s="4">
        <v>100392</v>
      </c>
      <c r="B380" s="1">
        <v>45451</v>
      </c>
      <c r="C380" s="1">
        <v>45299</v>
      </c>
      <c r="D380" t="s">
        <v>135</v>
      </c>
      <c r="E380" t="s">
        <v>93</v>
      </c>
      <c r="F380">
        <v>3</v>
      </c>
      <c r="G380">
        <v>611</v>
      </c>
      <c r="H380">
        <v>15</v>
      </c>
      <c r="I380" t="s">
        <v>19</v>
      </c>
      <c r="J380" t="s">
        <v>16</v>
      </c>
      <c r="K380" s="6">
        <f t="shared" si="20"/>
        <v>1833</v>
      </c>
      <c r="L380" s="6">
        <f t="shared" si="21"/>
        <v>-25662</v>
      </c>
      <c r="M380" s="6">
        <f>_xlfn.XLOOKUP(E380, Products!A:A, Products!E:E)</f>
        <v>222</v>
      </c>
      <c r="N380" s="6">
        <f t="shared" si="22"/>
        <v>666</v>
      </c>
      <c r="O380" s="8">
        <f t="shared" si="23"/>
        <v>-26328</v>
      </c>
      <c r="Q380" s="8"/>
      <c r="R380" s="8"/>
    </row>
    <row r="381" spans="1:18">
      <c r="A381" s="4">
        <v>100058</v>
      </c>
      <c r="B381" s="1">
        <v>45451</v>
      </c>
      <c r="C381" s="1">
        <v>45299</v>
      </c>
      <c r="D381" t="s">
        <v>116</v>
      </c>
      <c r="E381" t="s">
        <v>115</v>
      </c>
      <c r="F381">
        <v>3</v>
      </c>
      <c r="G381">
        <v>1211</v>
      </c>
      <c r="H381">
        <v>10</v>
      </c>
      <c r="I381" t="s">
        <v>29</v>
      </c>
      <c r="J381" t="s">
        <v>26</v>
      </c>
      <c r="K381" s="6">
        <f t="shared" si="20"/>
        <v>3633</v>
      </c>
      <c r="L381" s="6">
        <f t="shared" si="21"/>
        <v>-32697</v>
      </c>
      <c r="M381" s="6">
        <f>_xlfn.XLOOKUP(E381, Products!A:A, Products!E:E)</f>
        <v>211</v>
      </c>
      <c r="N381" s="6">
        <f t="shared" si="22"/>
        <v>633</v>
      </c>
      <c r="O381" s="8">
        <f t="shared" si="23"/>
        <v>-33330</v>
      </c>
      <c r="Q381" s="8"/>
      <c r="R381" s="8"/>
    </row>
    <row r="382" spans="1:18">
      <c r="A382" s="4">
        <v>100742</v>
      </c>
      <c r="B382" s="1">
        <v>45451</v>
      </c>
      <c r="C382" s="1">
        <v>45294</v>
      </c>
      <c r="D382" t="s">
        <v>113</v>
      </c>
      <c r="E382" t="s">
        <v>195</v>
      </c>
      <c r="F382">
        <v>3</v>
      </c>
      <c r="G382">
        <v>811</v>
      </c>
      <c r="H382">
        <v>10</v>
      </c>
      <c r="I382" t="s">
        <v>32</v>
      </c>
      <c r="J382" t="s">
        <v>13</v>
      </c>
      <c r="K382" s="6">
        <f t="shared" si="20"/>
        <v>2433</v>
      </c>
      <c r="L382" s="6">
        <f t="shared" si="21"/>
        <v>-21897</v>
      </c>
      <c r="M382" s="6">
        <f>_xlfn.XLOOKUP(E382, Products!A:A, Products!E:E)</f>
        <v>261</v>
      </c>
      <c r="N382" s="6">
        <f t="shared" si="22"/>
        <v>783</v>
      </c>
      <c r="O382" s="8">
        <f t="shared" si="23"/>
        <v>-22680</v>
      </c>
      <c r="Q382" s="8"/>
      <c r="R382" s="8"/>
    </row>
    <row r="383" spans="1:18">
      <c r="A383" s="4">
        <v>100099</v>
      </c>
      <c r="B383" s="1">
        <v>45448</v>
      </c>
      <c r="C383" s="1">
        <v>45296</v>
      </c>
      <c r="D383" t="s">
        <v>163</v>
      </c>
      <c r="E383" t="s">
        <v>164</v>
      </c>
      <c r="F383">
        <v>3</v>
      </c>
      <c r="G383">
        <v>458</v>
      </c>
      <c r="H383">
        <v>0</v>
      </c>
      <c r="I383" t="s">
        <v>29</v>
      </c>
      <c r="J383" t="s">
        <v>22</v>
      </c>
      <c r="K383" s="6">
        <f t="shared" si="20"/>
        <v>1374</v>
      </c>
      <c r="L383" s="6">
        <f t="shared" si="21"/>
        <v>1374</v>
      </c>
      <c r="M383" s="6">
        <f>_xlfn.XLOOKUP(E383, Products!A:A, Products!E:E)</f>
        <v>156</v>
      </c>
      <c r="N383" s="6">
        <f t="shared" si="22"/>
        <v>468</v>
      </c>
      <c r="O383" s="8">
        <f t="shared" si="23"/>
        <v>906</v>
      </c>
      <c r="Q383" s="8"/>
      <c r="R383" s="8"/>
    </row>
    <row r="384" spans="1:18">
      <c r="A384" s="4">
        <v>100069</v>
      </c>
      <c r="B384" s="1">
        <v>45447</v>
      </c>
      <c r="C384" s="1">
        <v>45294</v>
      </c>
      <c r="D384" t="s">
        <v>130</v>
      </c>
      <c r="E384" t="s">
        <v>44</v>
      </c>
      <c r="F384">
        <v>3</v>
      </c>
      <c r="G384">
        <v>257</v>
      </c>
      <c r="H384">
        <v>15</v>
      </c>
      <c r="I384" t="s">
        <v>32</v>
      </c>
      <c r="J384" t="s">
        <v>22</v>
      </c>
      <c r="K384" s="6">
        <f t="shared" si="20"/>
        <v>771</v>
      </c>
      <c r="L384" s="6">
        <f t="shared" si="21"/>
        <v>-10794</v>
      </c>
      <c r="M384" s="6">
        <f>_xlfn.XLOOKUP(E384, Products!A:A, Products!E:E)</f>
        <v>204</v>
      </c>
      <c r="N384" s="6">
        <f t="shared" si="22"/>
        <v>612</v>
      </c>
      <c r="O384" s="8">
        <f t="shared" si="23"/>
        <v>-11406</v>
      </c>
      <c r="Q384" s="8"/>
      <c r="R384" s="8"/>
    </row>
    <row r="385" spans="1:18">
      <c r="A385" s="4">
        <v>100933</v>
      </c>
      <c r="B385" s="1">
        <v>45446</v>
      </c>
      <c r="C385" s="1">
        <v>45296</v>
      </c>
      <c r="D385" t="s">
        <v>401</v>
      </c>
      <c r="E385" t="s">
        <v>206</v>
      </c>
      <c r="F385">
        <v>3</v>
      </c>
      <c r="G385">
        <v>811</v>
      </c>
      <c r="H385">
        <v>5</v>
      </c>
      <c r="I385" t="s">
        <v>32</v>
      </c>
      <c r="J385" t="s">
        <v>26</v>
      </c>
      <c r="K385" s="6">
        <f t="shared" si="20"/>
        <v>2433</v>
      </c>
      <c r="L385" s="6">
        <f t="shared" si="21"/>
        <v>-9732</v>
      </c>
      <c r="M385" s="6">
        <f>_xlfn.XLOOKUP(E385, Products!A:A, Products!E:E)</f>
        <v>50</v>
      </c>
      <c r="N385" s="6">
        <f t="shared" si="22"/>
        <v>150</v>
      </c>
      <c r="O385" s="8">
        <f t="shared" si="23"/>
        <v>-9882</v>
      </c>
      <c r="Q385" s="8"/>
      <c r="R385" s="8"/>
    </row>
    <row r="386" spans="1:18">
      <c r="A386" s="4">
        <v>100110</v>
      </c>
      <c r="B386" s="1">
        <v>45443</v>
      </c>
      <c r="C386" s="1">
        <v>45299</v>
      </c>
      <c r="D386" t="s">
        <v>49</v>
      </c>
      <c r="E386" t="s">
        <v>107</v>
      </c>
      <c r="F386">
        <v>3</v>
      </c>
      <c r="G386">
        <v>1846</v>
      </c>
      <c r="H386">
        <v>15</v>
      </c>
      <c r="I386" t="s">
        <v>32</v>
      </c>
      <c r="J386" t="s">
        <v>16</v>
      </c>
      <c r="K386" s="6">
        <f t="shared" ref="K386:K449" si="24">F386*G386</f>
        <v>5538</v>
      </c>
      <c r="L386" s="6">
        <f t="shared" si="21"/>
        <v>-77532</v>
      </c>
      <c r="M386" s="6">
        <f>_xlfn.XLOOKUP(E386, Products!A:A, Products!E:E)</f>
        <v>232</v>
      </c>
      <c r="N386" s="6">
        <f t="shared" si="22"/>
        <v>696</v>
      </c>
      <c r="O386" s="8">
        <f t="shared" si="23"/>
        <v>-78228</v>
      </c>
      <c r="Q386" s="8"/>
      <c r="R386" s="8"/>
    </row>
    <row r="387" spans="1:18">
      <c r="A387" s="4">
        <v>100893</v>
      </c>
      <c r="B387" s="1">
        <v>45442</v>
      </c>
      <c r="C387" s="1">
        <v>45302</v>
      </c>
      <c r="D387" t="s">
        <v>297</v>
      </c>
      <c r="E387" t="s">
        <v>165</v>
      </c>
      <c r="F387">
        <v>3</v>
      </c>
      <c r="G387">
        <v>438</v>
      </c>
      <c r="H387">
        <v>15</v>
      </c>
      <c r="I387" t="s">
        <v>19</v>
      </c>
      <c r="J387" t="s">
        <v>26</v>
      </c>
      <c r="K387" s="6">
        <f t="shared" si="24"/>
        <v>1314</v>
      </c>
      <c r="L387" s="6">
        <f t="shared" ref="L387:L450" si="25">F387*G387*(1-H387)</f>
        <v>-18396</v>
      </c>
      <c r="M387" s="6">
        <f>_xlfn.XLOOKUP(E387, Products!A:A, Products!E:E)</f>
        <v>241</v>
      </c>
      <c r="N387" s="6">
        <f t="shared" ref="N387:N450" si="26">F387*M387</f>
        <v>723</v>
      </c>
      <c r="O387" s="8">
        <f t="shared" ref="O387:O450" si="27">L387-N387</f>
        <v>-19119</v>
      </c>
      <c r="Q387" s="8"/>
      <c r="R387" s="8"/>
    </row>
    <row r="388" spans="1:18">
      <c r="A388" s="4">
        <v>100506</v>
      </c>
      <c r="B388" s="1">
        <v>45441</v>
      </c>
      <c r="C388" s="1">
        <v>45294</v>
      </c>
      <c r="D388" t="s">
        <v>35</v>
      </c>
      <c r="E388" t="s">
        <v>107</v>
      </c>
      <c r="F388">
        <v>3</v>
      </c>
      <c r="G388">
        <v>1766</v>
      </c>
      <c r="H388">
        <v>15</v>
      </c>
      <c r="I388" t="s">
        <v>19</v>
      </c>
      <c r="J388" t="s">
        <v>16</v>
      </c>
      <c r="K388" s="6">
        <f t="shared" si="24"/>
        <v>5298</v>
      </c>
      <c r="L388" s="6">
        <f t="shared" si="25"/>
        <v>-74172</v>
      </c>
      <c r="M388" s="6">
        <f>_xlfn.XLOOKUP(E388, Products!A:A, Products!E:E)</f>
        <v>232</v>
      </c>
      <c r="N388" s="6">
        <f t="shared" si="26"/>
        <v>696</v>
      </c>
      <c r="O388" s="8">
        <f t="shared" si="27"/>
        <v>-74868</v>
      </c>
      <c r="Q388" s="8"/>
      <c r="R388" s="8"/>
    </row>
    <row r="389" spans="1:18">
      <c r="A389" s="4">
        <v>100350</v>
      </c>
      <c r="B389" s="1">
        <v>45440</v>
      </c>
      <c r="C389" s="1">
        <v>45299</v>
      </c>
      <c r="D389" t="s">
        <v>225</v>
      </c>
      <c r="E389" t="s">
        <v>101</v>
      </c>
      <c r="F389">
        <v>3</v>
      </c>
      <c r="G389">
        <v>261</v>
      </c>
      <c r="H389">
        <v>5</v>
      </c>
      <c r="I389" t="s">
        <v>12</v>
      </c>
      <c r="J389" t="s">
        <v>13</v>
      </c>
      <c r="K389" s="6">
        <f t="shared" si="24"/>
        <v>783</v>
      </c>
      <c r="L389" s="6">
        <f t="shared" si="25"/>
        <v>-3132</v>
      </c>
      <c r="M389" s="6">
        <f>_xlfn.XLOOKUP(E389, Products!A:A, Products!E:E)</f>
        <v>126</v>
      </c>
      <c r="N389" s="6">
        <f t="shared" si="26"/>
        <v>378</v>
      </c>
      <c r="O389" s="8">
        <f t="shared" si="27"/>
        <v>-3510</v>
      </c>
      <c r="Q389" s="8"/>
      <c r="R389" s="8"/>
    </row>
    <row r="390" spans="1:18">
      <c r="A390" s="4">
        <v>100249</v>
      </c>
      <c r="B390" s="1">
        <v>45439</v>
      </c>
      <c r="C390" s="1">
        <v>45299</v>
      </c>
      <c r="D390" t="s">
        <v>272</v>
      </c>
      <c r="E390" t="s">
        <v>265</v>
      </c>
      <c r="F390">
        <v>3</v>
      </c>
      <c r="G390">
        <v>1503</v>
      </c>
      <c r="H390">
        <v>10</v>
      </c>
      <c r="I390" t="s">
        <v>12</v>
      </c>
      <c r="J390" t="s">
        <v>22</v>
      </c>
      <c r="K390" s="6">
        <f t="shared" si="24"/>
        <v>4509</v>
      </c>
      <c r="L390" s="6">
        <f t="shared" si="25"/>
        <v>-40581</v>
      </c>
      <c r="M390" s="6">
        <f>_xlfn.XLOOKUP(E390, Products!A:A, Products!E:E)</f>
        <v>218</v>
      </c>
      <c r="N390" s="6">
        <f t="shared" si="26"/>
        <v>654</v>
      </c>
      <c r="O390" s="8">
        <f t="shared" si="27"/>
        <v>-41235</v>
      </c>
      <c r="Q390" s="8"/>
      <c r="R390" s="8"/>
    </row>
    <row r="391" spans="1:18">
      <c r="A391" s="4">
        <v>100501</v>
      </c>
      <c r="B391" s="1">
        <v>45437</v>
      </c>
      <c r="C391" s="1">
        <v>45297</v>
      </c>
      <c r="D391" t="s">
        <v>249</v>
      </c>
      <c r="E391" t="s">
        <v>204</v>
      </c>
      <c r="F391">
        <v>3</v>
      </c>
      <c r="G391">
        <v>418</v>
      </c>
      <c r="H391">
        <v>15</v>
      </c>
      <c r="I391" t="s">
        <v>12</v>
      </c>
      <c r="J391" t="s">
        <v>16</v>
      </c>
      <c r="K391" s="6">
        <f t="shared" si="24"/>
        <v>1254</v>
      </c>
      <c r="L391" s="6">
        <f t="shared" si="25"/>
        <v>-17556</v>
      </c>
      <c r="M391" s="6">
        <f>_xlfn.XLOOKUP(E391, Products!A:A, Products!E:E)</f>
        <v>229</v>
      </c>
      <c r="N391" s="6">
        <f t="shared" si="26"/>
        <v>687</v>
      </c>
      <c r="O391" s="8">
        <f t="shared" si="27"/>
        <v>-18243</v>
      </c>
      <c r="Q391" s="8"/>
      <c r="R391" s="8"/>
    </row>
    <row r="392" spans="1:18">
      <c r="A392" s="4">
        <v>100643</v>
      </c>
      <c r="B392" s="1">
        <v>45436</v>
      </c>
      <c r="C392" s="1">
        <v>45301</v>
      </c>
      <c r="D392" t="s">
        <v>81</v>
      </c>
      <c r="E392" t="s">
        <v>55</v>
      </c>
      <c r="F392">
        <v>3</v>
      </c>
      <c r="G392">
        <v>1383</v>
      </c>
      <c r="H392">
        <v>0</v>
      </c>
      <c r="I392" t="s">
        <v>19</v>
      </c>
      <c r="J392" t="s">
        <v>16</v>
      </c>
      <c r="K392" s="6">
        <f t="shared" si="24"/>
        <v>4149</v>
      </c>
      <c r="L392" s="6">
        <f t="shared" si="25"/>
        <v>4149</v>
      </c>
      <c r="M392" s="6">
        <f>_xlfn.XLOOKUP(E392, Products!A:A, Products!E:E)</f>
        <v>141</v>
      </c>
      <c r="N392" s="6">
        <f t="shared" si="26"/>
        <v>423</v>
      </c>
      <c r="O392" s="8">
        <f t="shared" si="27"/>
        <v>3726</v>
      </c>
      <c r="Q392" s="8"/>
      <c r="R392" s="8"/>
    </row>
    <row r="393" spans="1:18">
      <c r="A393" s="4">
        <v>100530</v>
      </c>
      <c r="B393" s="1">
        <v>45435</v>
      </c>
      <c r="C393" s="1">
        <v>45302</v>
      </c>
      <c r="D393" t="s">
        <v>116</v>
      </c>
      <c r="E393" t="s">
        <v>164</v>
      </c>
      <c r="F393">
        <v>3</v>
      </c>
      <c r="G393">
        <v>1670</v>
      </c>
      <c r="H393">
        <v>5</v>
      </c>
      <c r="I393" t="s">
        <v>19</v>
      </c>
      <c r="J393" t="s">
        <v>13</v>
      </c>
      <c r="K393" s="6">
        <f t="shared" si="24"/>
        <v>5010</v>
      </c>
      <c r="L393" s="6">
        <f t="shared" si="25"/>
        <v>-20040</v>
      </c>
      <c r="M393" s="6">
        <f>_xlfn.XLOOKUP(E393, Products!A:A, Products!E:E)</f>
        <v>156</v>
      </c>
      <c r="N393" s="6">
        <f t="shared" si="26"/>
        <v>468</v>
      </c>
      <c r="O393" s="8">
        <f t="shared" si="27"/>
        <v>-20508</v>
      </c>
      <c r="Q393" s="8"/>
      <c r="R393" s="8"/>
    </row>
    <row r="394" spans="1:18">
      <c r="A394" s="4">
        <v>100071</v>
      </c>
      <c r="B394" s="1">
        <v>45434</v>
      </c>
      <c r="C394" s="1">
        <v>45294</v>
      </c>
      <c r="D394" t="s">
        <v>133</v>
      </c>
      <c r="E394" t="s">
        <v>134</v>
      </c>
      <c r="F394">
        <v>3</v>
      </c>
      <c r="G394">
        <v>1026</v>
      </c>
      <c r="H394">
        <v>5</v>
      </c>
      <c r="I394" t="s">
        <v>19</v>
      </c>
      <c r="J394" t="s">
        <v>13</v>
      </c>
      <c r="K394" s="6">
        <f t="shared" si="24"/>
        <v>3078</v>
      </c>
      <c r="L394" s="6">
        <f t="shared" si="25"/>
        <v>-12312</v>
      </c>
      <c r="M394" s="6">
        <f>_xlfn.XLOOKUP(E394, Products!A:A, Products!E:E)</f>
        <v>179</v>
      </c>
      <c r="N394" s="6">
        <f t="shared" si="26"/>
        <v>537</v>
      </c>
      <c r="O394" s="8">
        <f t="shared" si="27"/>
        <v>-12849</v>
      </c>
      <c r="Q394" s="8"/>
      <c r="R394" s="8"/>
    </row>
    <row r="395" spans="1:18">
      <c r="A395" s="4">
        <v>100016</v>
      </c>
      <c r="B395" s="1">
        <v>45432</v>
      </c>
      <c r="C395" s="1">
        <v>45296</v>
      </c>
      <c r="D395" t="s">
        <v>47</v>
      </c>
      <c r="E395" t="s">
        <v>48</v>
      </c>
      <c r="F395">
        <v>3</v>
      </c>
      <c r="G395">
        <v>1341</v>
      </c>
      <c r="H395">
        <v>0</v>
      </c>
      <c r="I395" t="s">
        <v>12</v>
      </c>
      <c r="J395" t="s">
        <v>22</v>
      </c>
      <c r="K395" s="6">
        <f t="shared" si="24"/>
        <v>4023</v>
      </c>
      <c r="L395" s="6">
        <f t="shared" si="25"/>
        <v>4023</v>
      </c>
      <c r="M395" s="6">
        <f>_xlfn.XLOOKUP(E395, Products!A:A, Products!E:E)</f>
        <v>179</v>
      </c>
      <c r="N395" s="6">
        <f t="shared" si="26"/>
        <v>537</v>
      </c>
      <c r="O395" s="8">
        <f t="shared" si="27"/>
        <v>3486</v>
      </c>
      <c r="Q395" s="8"/>
      <c r="R395" s="8"/>
    </row>
    <row r="396" spans="1:18">
      <c r="A396" s="4">
        <v>100209</v>
      </c>
      <c r="B396" s="1">
        <v>45431</v>
      </c>
      <c r="C396" s="1">
        <v>45298</v>
      </c>
      <c r="D396" t="s">
        <v>252</v>
      </c>
      <c r="E396" t="s">
        <v>65</v>
      </c>
      <c r="F396">
        <v>3</v>
      </c>
      <c r="G396">
        <v>814</v>
      </c>
      <c r="H396">
        <v>5</v>
      </c>
      <c r="I396" t="s">
        <v>12</v>
      </c>
      <c r="J396" t="s">
        <v>26</v>
      </c>
      <c r="K396" s="6">
        <f t="shared" si="24"/>
        <v>2442</v>
      </c>
      <c r="L396" s="6">
        <f t="shared" si="25"/>
        <v>-9768</v>
      </c>
      <c r="M396" s="6">
        <f>_xlfn.XLOOKUP(E396, Products!A:A, Products!E:E)</f>
        <v>213</v>
      </c>
      <c r="N396" s="6">
        <f t="shared" si="26"/>
        <v>639</v>
      </c>
      <c r="O396" s="8">
        <f t="shared" si="27"/>
        <v>-10407</v>
      </c>
      <c r="Q396" s="8"/>
      <c r="R396" s="8"/>
    </row>
    <row r="397" spans="1:18">
      <c r="A397" s="4">
        <v>100916</v>
      </c>
      <c r="B397" s="1">
        <v>45430</v>
      </c>
      <c r="C397" s="1">
        <v>45295</v>
      </c>
      <c r="D397" t="s">
        <v>282</v>
      </c>
      <c r="E397" t="s">
        <v>115</v>
      </c>
      <c r="F397">
        <v>3</v>
      </c>
      <c r="G397">
        <v>1152</v>
      </c>
      <c r="H397">
        <v>5</v>
      </c>
      <c r="I397" t="s">
        <v>12</v>
      </c>
      <c r="J397" t="s">
        <v>26</v>
      </c>
      <c r="K397" s="6">
        <f t="shared" si="24"/>
        <v>3456</v>
      </c>
      <c r="L397" s="6">
        <f t="shared" si="25"/>
        <v>-13824</v>
      </c>
      <c r="M397" s="6">
        <f>_xlfn.XLOOKUP(E397, Products!A:A, Products!E:E)</f>
        <v>211</v>
      </c>
      <c r="N397" s="6">
        <f t="shared" si="26"/>
        <v>633</v>
      </c>
      <c r="O397" s="8">
        <f t="shared" si="27"/>
        <v>-14457</v>
      </c>
      <c r="Q397" s="8"/>
      <c r="R397" s="8"/>
    </row>
    <row r="398" spans="1:18">
      <c r="A398" s="4">
        <v>100961</v>
      </c>
      <c r="B398" s="1">
        <v>45430</v>
      </c>
      <c r="C398" s="1">
        <v>45300</v>
      </c>
      <c r="D398" t="s">
        <v>113</v>
      </c>
      <c r="E398" t="s">
        <v>181</v>
      </c>
      <c r="F398">
        <v>3</v>
      </c>
      <c r="G398">
        <v>1881</v>
      </c>
      <c r="H398">
        <v>0</v>
      </c>
      <c r="I398" t="s">
        <v>12</v>
      </c>
      <c r="J398" t="s">
        <v>16</v>
      </c>
      <c r="K398" s="6">
        <f t="shared" si="24"/>
        <v>5643</v>
      </c>
      <c r="L398" s="6">
        <f t="shared" si="25"/>
        <v>5643</v>
      </c>
      <c r="M398" s="6">
        <f>_xlfn.XLOOKUP(E398, Products!A:A, Products!E:E)</f>
        <v>72</v>
      </c>
      <c r="N398" s="6">
        <f t="shared" si="26"/>
        <v>216</v>
      </c>
      <c r="O398" s="8">
        <f t="shared" si="27"/>
        <v>5427</v>
      </c>
      <c r="Q398" s="8"/>
      <c r="R398" s="8"/>
    </row>
    <row r="399" spans="1:18">
      <c r="A399" s="4">
        <v>100743</v>
      </c>
      <c r="B399" s="1">
        <v>45429</v>
      </c>
      <c r="C399" s="1">
        <v>45294</v>
      </c>
      <c r="D399" t="s">
        <v>392</v>
      </c>
      <c r="E399" t="s">
        <v>224</v>
      </c>
      <c r="F399">
        <v>3</v>
      </c>
      <c r="G399">
        <v>1501</v>
      </c>
      <c r="H399">
        <v>15</v>
      </c>
      <c r="I399" t="s">
        <v>12</v>
      </c>
      <c r="J399" t="s">
        <v>13</v>
      </c>
      <c r="K399" s="6">
        <f t="shared" si="24"/>
        <v>4503</v>
      </c>
      <c r="L399" s="6">
        <f t="shared" si="25"/>
        <v>-63042</v>
      </c>
      <c r="M399" s="6">
        <f>_xlfn.XLOOKUP(E399, Products!A:A, Products!E:E)</f>
        <v>118</v>
      </c>
      <c r="N399" s="6">
        <f t="shared" si="26"/>
        <v>354</v>
      </c>
      <c r="O399" s="8">
        <f t="shared" si="27"/>
        <v>-63396</v>
      </c>
      <c r="Q399" s="8"/>
      <c r="R399" s="8"/>
    </row>
    <row r="400" spans="1:18">
      <c r="A400" s="4">
        <v>100620</v>
      </c>
      <c r="B400" s="1">
        <v>45427</v>
      </c>
      <c r="C400" s="1">
        <v>45299</v>
      </c>
      <c r="D400" t="s">
        <v>338</v>
      </c>
      <c r="E400" t="s">
        <v>50</v>
      </c>
      <c r="F400">
        <v>3</v>
      </c>
      <c r="G400">
        <v>688</v>
      </c>
      <c r="H400">
        <v>0</v>
      </c>
      <c r="I400" t="s">
        <v>19</v>
      </c>
      <c r="J400" t="s">
        <v>22</v>
      </c>
      <c r="K400" s="6">
        <f t="shared" si="24"/>
        <v>2064</v>
      </c>
      <c r="L400" s="6">
        <f t="shared" si="25"/>
        <v>2064</v>
      </c>
      <c r="M400" s="6">
        <f>_xlfn.XLOOKUP(E400, Products!A:A, Products!E:E)</f>
        <v>218</v>
      </c>
      <c r="N400" s="6">
        <f t="shared" si="26"/>
        <v>654</v>
      </c>
      <c r="O400" s="8">
        <f t="shared" si="27"/>
        <v>1410</v>
      </c>
      <c r="Q400" s="8"/>
      <c r="R400" s="8"/>
    </row>
    <row r="401" spans="1:18">
      <c r="A401" s="4">
        <v>100289</v>
      </c>
      <c r="B401" s="1">
        <v>45426</v>
      </c>
      <c r="C401" s="1">
        <v>45301</v>
      </c>
      <c r="D401" t="s">
        <v>292</v>
      </c>
      <c r="E401" t="s">
        <v>204</v>
      </c>
      <c r="F401">
        <v>3</v>
      </c>
      <c r="G401">
        <v>1625</v>
      </c>
      <c r="H401">
        <v>15</v>
      </c>
      <c r="I401" t="s">
        <v>32</v>
      </c>
      <c r="J401" t="s">
        <v>13</v>
      </c>
      <c r="K401" s="6">
        <f t="shared" si="24"/>
        <v>4875</v>
      </c>
      <c r="L401" s="6">
        <f t="shared" si="25"/>
        <v>-68250</v>
      </c>
      <c r="M401" s="6">
        <f>_xlfn.XLOOKUP(E401, Products!A:A, Products!E:E)</f>
        <v>229</v>
      </c>
      <c r="N401" s="6">
        <f t="shared" si="26"/>
        <v>687</v>
      </c>
      <c r="O401" s="8">
        <f t="shared" si="27"/>
        <v>-68937</v>
      </c>
      <c r="Q401" s="8"/>
      <c r="R401" s="8"/>
    </row>
    <row r="402" spans="1:18">
      <c r="A402" s="4">
        <v>100678</v>
      </c>
      <c r="B402" s="1">
        <v>45425</v>
      </c>
      <c r="C402" s="1">
        <v>45297</v>
      </c>
      <c r="D402" t="s">
        <v>78</v>
      </c>
      <c r="E402" t="s">
        <v>68</v>
      </c>
      <c r="F402">
        <v>3</v>
      </c>
      <c r="G402">
        <v>348</v>
      </c>
      <c r="H402">
        <v>15</v>
      </c>
      <c r="I402" t="s">
        <v>12</v>
      </c>
      <c r="J402" t="s">
        <v>26</v>
      </c>
      <c r="K402" s="6">
        <f t="shared" si="24"/>
        <v>1044</v>
      </c>
      <c r="L402" s="6">
        <f t="shared" si="25"/>
        <v>-14616</v>
      </c>
      <c r="M402" s="6">
        <f>_xlfn.XLOOKUP(E402, Products!A:A, Products!E:E)</f>
        <v>295</v>
      </c>
      <c r="N402" s="6">
        <f t="shared" si="26"/>
        <v>885</v>
      </c>
      <c r="O402" s="8">
        <f t="shared" si="27"/>
        <v>-15501</v>
      </c>
      <c r="Q402" s="8"/>
      <c r="R402" s="8"/>
    </row>
    <row r="403" spans="1:18">
      <c r="A403" s="4">
        <v>100567</v>
      </c>
      <c r="B403" s="1">
        <v>45420</v>
      </c>
      <c r="C403" s="1">
        <v>45300</v>
      </c>
      <c r="D403" t="s">
        <v>282</v>
      </c>
      <c r="E403" t="s">
        <v>265</v>
      </c>
      <c r="F403">
        <v>3</v>
      </c>
      <c r="G403">
        <v>1655</v>
      </c>
      <c r="H403">
        <v>15</v>
      </c>
      <c r="I403" t="s">
        <v>19</v>
      </c>
      <c r="J403" t="s">
        <v>22</v>
      </c>
      <c r="K403" s="6">
        <f t="shared" si="24"/>
        <v>4965</v>
      </c>
      <c r="L403" s="6">
        <f t="shared" si="25"/>
        <v>-69510</v>
      </c>
      <c r="M403" s="6">
        <f>_xlfn.XLOOKUP(E403, Products!A:A, Products!E:E)</f>
        <v>218</v>
      </c>
      <c r="N403" s="6">
        <f t="shared" si="26"/>
        <v>654</v>
      </c>
      <c r="O403" s="8">
        <f t="shared" si="27"/>
        <v>-70164</v>
      </c>
      <c r="Q403" s="8"/>
      <c r="R403" s="8"/>
    </row>
    <row r="404" spans="1:18">
      <c r="A404" s="4">
        <v>100389</v>
      </c>
      <c r="B404" s="1">
        <v>45419</v>
      </c>
      <c r="C404" s="1">
        <v>45299</v>
      </c>
      <c r="D404" t="s">
        <v>262</v>
      </c>
      <c r="E404" t="s">
        <v>85</v>
      </c>
      <c r="F404">
        <v>3</v>
      </c>
      <c r="G404">
        <v>205</v>
      </c>
      <c r="H404">
        <v>0</v>
      </c>
      <c r="I404" t="s">
        <v>19</v>
      </c>
      <c r="J404" t="s">
        <v>26</v>
      </c>
      <c r="K404" s="6">
        <f t="shared" si="24"/>
        <v>615</v>
      </c>
      <c r="L404" s="6">
        <f t="shared" si="25"/>
        <v>615</v>
      </c>
      <c r="M404" s="6">
        <f>_xlfn.XLOOKUP(E404, Products!A:A, Products!E:E)</f>
        <v>148</v>
      </c>
      <c r="N404" s="6">
        <f t="shared" si="26"/>
        <v>444</v>
      </c>
      <c r="O404" s="8">
        <f t="shared" si="27"/>
        <v>171</v>
      </c>
      <c r="Q404" s="8"/>
      <c r="R404" s="8"/>
    </row>
    <row r="405" spans="1:18">
      <c r="A405" s="4">
        <v>100381</v>
      </c>
      <c r="B405" s="1">
        <v>45416</v>
      </c>
      <c r="C405" s="1">
        <v>45300</v>
      </c>
      <c r="D405" t="s">
        <v>330</v>
      </c>
      <c r="E405" t="s">
        <v>120</v>
      </c>
      <c r="F405">
        <v>3</v>
      </c>
      <c r="G405">
        <v>1319</v>
      </c>
      <c r="H405">
        <v>0</v>
      </c>
      <c r="I405" t="s">
        <v>32</v>
      </c>
      <c r="J405" t="s">
        <v>22</v>
      </c>
      <c r="K405" s="6">
        <f t="shared" si="24"/>
        <v>3957</v>
      </c>
      <c r="L405" s="6">
        <f t="shared" si="25"/>
        <v>3957</v>
      </c>
      <c r="M405" s="6">
        <f>_xlfn.XLOOKUP(E405, Products!A:A, Products!E:E)</f>
        <v>52</v>
      </c>
      <c r="N405" s="6">
        <f t="shared" si="26"/>
        <v>156</v>
      </c>
      <c r="O405" s="8">
        <f t="shared" si="27"/>
        <v>3801</v>
      </c>
      <c r="Q405" s="8"/>
      <c r="R405" s="8"/>
    </row>
    <row r="406" spans="1:18">
      <c r="A406" s="4">
        <v>100386</v>
      </c>
      <c r="B406" s="1">
        <v>45414</v>
      </c>
      <c r="C406" s="1">
        <v>45297</v>
      </c>
      <c r="D406" t="s">
        <v>78</v>
      </c>
      <c r="E406" t="s">
        <v>21</v>
      </c>
      <c r="F406">
        <v>3</v>
      </c>
      <c r="G406">
        <v>631</v>
      </c>
      <c r="H406">
        <v>15</v>
      </c>
      <c r="I406" t="s">
        <v>12</v>
      </c>
      <c r="J406" t="s">
        <v>16</v>
      </c>
      <c r="K406" s="6">
        <f t="shared" si="24"/>
        <v>1893</v>
      </c>
      <c r="L406" s="6">
        <f t="shared" si="25"/>
        <v>-26502</v>
      </c>
      <c r="M406" s="6">
        <f>_xlfn.XLOOKUP(E406, Products!A:A, Products!E:E)</f>
        <v>279</v>
      </c>
      <c r="N406" s="6">
        <f t="shared" si="26"/>
        <v>837</v>
      </c>
      <c r="O406" s="8">
        <f t="shared" si="27"/>
        <v>-27339</v>
      </c>
      <c r="Q406" s="8"/>
      <c r="R406" s="8"/>
    </row>
    <row r="407" spans="1:18">
      <c r="A407" s="4">
        <v>100722</v>
      </c>
      <c r="B407" s="1">
        <v>45413</v>
      </c>
      <c r="C407" s="1">
        <v>45299</v>
      </c>
      <c r="D407" t="s">
        <v>395</v>
      </c>
      <c r="E407" t="s">
        <v>156</v>
      </c>
      <c r="F407">
        <v>3</v>
      </c>
      <c r="G407">
        <v>1834</v>
      </c>
      <c r="H407">
        <v>5</v>
      </c>
      <c r="I407" t="s">
        <v>19</v>
      </c>
      <c r="J407" t="s">
        <v>16</v>
      </c>
      <c r="K407" s="6">
        <f t="shared" si="24"/>
        <v>5502</v>
      </c>
      <c r="L407" s="6">
        <f t="shared" si="25"/>
        <v>-22008</v>
      </c>
      <c r="M407" s="6">
        <f>_xlfn.XLOOKUP(E407, Products!A:A, Products!E:E)</f>
        <v>168</v>
      </c>
      <c r="N407" s="6">
        <f t="shared" si="26"/>
        <v>504</v>
      </c>
      <c r="O407" s="8">
        <f t="shared" si="27"/>
        <v>-22512</v>
      </c>
      <c r="Q407" s="8"/>
      <c r="R407" s="8"/>
    </row>
    <row r="408" spans="1:18">
      <c r="A408" s="4">
        <v>100755</v>
      </c>
      <c r="B408" s="1">
        <v>45413</v>
      </c>
      <c r="C408" s="1">
        <v>45298</v>
      </c>
      <c r="D408" t="s">
        <v>194</v>
      </c>
      <c r="E408" t="s">
        <v>142</v>
      </c>
      <c r="F408">
        <v>3</v>
      </c>
      <c r="G408">
        <v>651</v>
      </c>
      <c r="H408">
        <v>10</v>
      </c>
      <c r="I408" t="s">
        <v>32</v>
      </c>
      <c r="J408" t="s">
        <v>22</v>
      </c>
      <c r="K408" s="6">
        <f t="shared" si="24"/>
        <v>1953</v>
      </c>
      <c r="L408" s="6">
        <f t="shared" si="25"/>
        <v>-17577</v>
      </c>
      <c r="M408" s="6">
        <f>_xlfn.XLOOKUP(E408, Products!A:A, Products!E:E)</f>
        <v>276</v>
      </c>
      <c r="N408" s="6">
        <f t="shared" si="26"/>
        <v>828</v>
      </c>
      <c r="O408" s="8">
        <f t="shared" si="27"/>
        <v>-18405</v>
      </c>
      <c r="Q408" s="8"/>
      <c r="R408" s="8"/>
    </row>
    <row r="409" spans="1:18">
      <c r="A409" s="4">
        <v>100413</v>
      </c>
      <c r="B409" s="1">
        <v>45408</v>
      </c>
      <c r="C409" s="1">
        <v>45295</v>
      </c>
      <c r="D409" t="s">
        <v>323</v>
      </c>
      <c r="E409" t="s">
        <v>48</v>
      </c>
      <c r="F409">
        <v>3</v>
      </c>
      <c r="G409">
        <v>1883</v>
      </c>
      <c r="H409">
        <v>15</v>
      </c>
      <c r="I409" t="s">
        <v>19</v>
      </c>
      <c r="J409" t="s">
        <v>26</v>
      </c>
      <c r="K409" s="6">
        <f t="shared" si="24"/>
        <v>5649</v>
      </c>
      <c r="L409" s="6">
        <f t="shared" si="25"/>
        <v>-79086</v>
      </c>
      <c r="M409" s="6">
        <f>_xlfn.XLOOKUP(E409, Products!A:A, Products!E:E)</f>
        <v>179</v>
      </c>
      <c r="N409" s="6">
        <f t="shared" si="26"/>
        <v>537</v>
      </c>
      <c r="O409" s="8">
        <f t="shared" si="27"/>
        <v>-79623</v>
      </c>
      <c r="Q409" s="8"/>
      <c r="R409" s="8"/>
    </row>
    <row r="410" spans="1:18">
      <c r="A410" s="4">
        <v>100060</v>
      </c>
      <c r="B410" s="1">
        <v>45408</v>
      </c>
      <c r="C410" s="1">
        <v>45295</v>
      </c>
      <c r="D410" t="s">
        <v>113</v>
      </c>
      <c r="E410" t="s">
        <v>59</v>
      </c>
      <c r="F410">
        <v>3</v>
      </c>
      <c r="G410">
        <v>427</v>
      </c>
      <c r="H410">
        <v>15</v>
      </c>
      <c r="I410" t="s">
        <v>29</v>
      </c>
      <c r="J410" t="s">
        <v>16</v>
      </c>
      <c r="K410" s="6">
        <f t="shared" si="24"/>
        <v>1281</v>
      </c>
      <c r="L410" s="6">
        <f t="shared" si="25"/>
        <v>-17934</v>
      </c>
      <c r="M410" s="6">
        <f>_xlfn.XLOOKUP(E410, Products!A:A, Products!E:E)</f>
        <v>116</v>
      </c>
      <c r="N410" s="6">
        <f t="shared" si="26"/>
        <v>348</v>
      </c>
      <c r="O410" s="8">
        <f t="shared" si="27"/>
        <v>-18282</v>
      </c>
      <c r="Q410" s="8"/>
      <c r="R410" s="8"/>
    </row>
    <row r="411" spans="1:18">
      <c r="A411" s="4">
        <v>100231</v>
      </c>
      <c r="B411" s="1">
        <v>45406</v>
      </c>
      <c r="C411" s="1">
        <v>45302</v>
      </c>
      <c r="D411" t="s">
        <v>262</v>
      </c>
      <c r="E411" t="s">
        <v>107</v>
      </c>
      <c r="F411">
        <v>3</v>
      </c>
      <c r="G411">
        <v>1730</v>
      </c>
      <c r="H411">
        <v>10</v>
      </c>
      <c r="I411" t="s">
        <v>19</v>
      </c>
      <c r="J411" t="s">
        <v>16</v>
      </c>
      <c r="K411" s="6">
        <f t="shared" si="24"/>
        <v>5190</v>
      </c>
      <c r="L411" s="6">
        <f t="shared" si="25"/>
        <v>-46710</v>
      </c>
      <c r="M411" s="6">
        <f>_xlfn.XLOOKUP(E411, Products!A:A, Products!E:E)</f>
        <v>232</v>
      </c>
      <c r="N411" s="6">
        <f t="shared" si="26"/>
        <v>696</v>
      </c>
      <c r="O411" s="8">
        <f t="shared" si="27"/>
        <v>-47406</v>
      </c>
      <c r="Q411" s="8"/>
      <c r="R411" s="8"/>
    </row>
    <row r="412" spans="1:18">
      <c r="A412" s="4">
        <v>100945</v>
      </c>
      <c r="B412" s="1">
        <v>45406</v>
      </c>
      <c r="C412" s="1">
        <v>45297</v>
      </c>
      <c r="D412" t="s">
        <v>141</v>
      </c>
      <c r="E412" t="s">
        <v>57</v>
      </c>
      <c r="F412">
        <v>3</v>
      </c>
      <c r="G412">
        <v>283</v>
      </c>
      <c r="H412">
        <v>5</v>
      </c>
      <c r="I412" t="s">
        <v>32</v>
      </c>
      <c r="J412" t="s">
        <v>22</v>
      </c>
      <c r="K412" s="6">
        <f t="shared" si="24"/>
        <v>849</v>
      </c>
      <c r="L412" s="6">
        <f t="shared" si="25"/>
        <v>-3396</v>
      </c>
      <c r="M412" s="6">
        <f>_xlfn.XLOOKUP(E412, Products!A:A, Products!E:E)</f>
        <v>270</v>
      </c>
      <c r="N412" s="6">
        <f t="shared" si="26"/>
        <v>810</v>
      </c>
      <c r="O412" s="8">
        <f t="shared" si="27"/>
        <v>-4206</v>
      </c>
      <c r="Q412" s="8"/>
      <c r="R412" s="8"/>
    </row>
    <row r="413" spans="1:18">
      <c r="A413" s="4">
        <v>100013</v>
      </c>
      <c r="B413" s="1">
        <v>45406</v>
      </c>
      <c r="C413" s="1">
        <v>45296</v>
      </c>
      <c r="D413" t="s">
        <v>42</v>
      </c>
      <c r="E413" t="s">
        <v>43</v>
      </c>
      <c r="F413">
        <v>3</v>
      </c>
      <c r="G413">
        <v>685</v>
      </c>
      <c r="H413">
        <v>10</v>
      </c>
      <c r="I413" t="s">
        <v>19</v>
      </c>
      <c r="J413" t="s">
        <v>26</v>
      </c>
      <c r="K413" s="6">
        <f t="shared" si="24"/>
        <v>2055</v>
      </c>
      <c r="L413" s="6">
        <f t="shared" si="25"/>
        <v>-18495</v>
      </c>
      <c r="M413" s="6">
        <f>_xlfn.XLOOKUP(E413, Products!A:A, Products!E:E)</f>
        <v>228</v>
      </c>
      <c r="N413" s="6">
        <f t="shared" si="26"/>
        <v>684</v>
      </c>
      <c r="O413" s="8">
        <f t="shared" si="27"/>
        <v>-19179</v>
      </c>
      <c r="Q413" s="8"/>
      <c r="R413" s="8"/>
    </row>
    <row r="414" spans="1:18">
      <c r="A414" s="4">
        <v>100545</v>
      </c>
      <c r="B414" s="1">
        <v>45403</v>
      </c>
      <c r="C414" s="1">
        <v>45299</v>
      </c>
      <c r="D414" t="s">
        <v>148</v>
      </c>
      <c r="E414" t="s">
        <v>134</v>
      </c>
      <c r="F414">
        <v>3</v>
      </c>
      <c r="G414">
        <v>1060</v>
      </c>
      <c r="H414">
        <v>10</v>
      </c>
      <c r="I414" t="s">
        <v>29</v>
      </c>
      <c r="J414" t="s">
        <v>22</v>
      </c>
      <c r="K414" s="6">
        <f t="shared" si="24"/>
        <v>3180</v>
      </c>
      <c r="L414" s="6">
        <f t="shared" si="25"/>
        <v>-28620</v>
      </c>
      <c r="M414" s="6">
        <f>_xlfn.XLOOKUP(E414, Products!A:A, Products!E:E)</f>
        <v>179</v>
      </c>
      <c r="N414" s="6">
        <f t="shared" si="26"/>
        <v>537</v>
      </c>
      <c r="O414" s="8">
        <f t="shared" si="27"/>
        <v>-29157</v>
      </c>
      <c r="Q414" s="8"/>
      <c r="R414" s="8"/>
    </row>
    <row r="415" spans="1:18">
      <c r="A415" s="4">
        <v>100001</v>
      </c>
      <c r="B415" s="1">
        <v>45403</v>
      </c>
      <c r="C415" s="1">
        <v>45298</v>
      </c>
      <c r="D415" t="s">
        <v>14</v>
      </c>
      <c r="E415" t="s">
        <v>15</v>
      </c>
      <c r="F415">
        <v>3</v>
      </c>
      <c r="G415">
        <v>1885</v>
      </c>
      <c r="H415">
        <v>5</v>
      </c>
      <c r="I415" t="s">
        <v>12</v>
      </c>
      <c r="J415" t="s">
        <v>16</v>
      </c>
      <c r="K415" s="6">
        <f t="shared" si="24"/>
        <v>5655</v>
      </c>
      <c r="L415" s="6">
        <f t="shared" si="25"/>
        <v>-22620</v>
      </c>
      <c r="M415" s="6">
        <f>_xlfn.XLOOKUP(E415, Products!A:A, Products!E:E)</f>
        <v>242</v>
      </c>
      <c r="N415" s="6">
        <f t="shared" si="26"/>
        <v>726</v>
      </c>
      <c r="O415" s="8">
        <f t="shared" si="27"/>
        <v>-23346</v>
      </c>
      <c r="Q415" s="8"/>
      <c r="R415" s="8"/>
    </row>
    <row r="416" spans="1:18">
      <c r="A416" s="4">
        <v>100416</v>
      </c>
      <c r="B416" s="1">
        <v>45397</v>
      </c>
      <c r="C416" s="1">
        <v>45296</v>
      </c>
      <c r="D416" t="s">
        <v>136</v>
      </c>
      <c r="E416" t="s">
        <v>331</v>
      </c>
      <c r="F416">
        <v>3</v>
      </c>
      <c r="G416">
        <v>1239</v>
      </c>
      <c r="H416">
        <v>10</v>
      </c>
      <c r="I416" t="s">
        <v>29</v>
      </c>
      <c r="J416" t="s">
        <v>16</v>
      </c>
      <c r="K416" s="6">
        <f t="shared" si="24"/>
        <v>3717</v>
      </c>
      <c r="L416" s="6">
        <f t="shared" si="25"/>
        <v>-33453</v>
      </c>
      <c r="M416" s="6">
        <f>_xlfn.XLOOKUP(E416, Products!A:A, Products!E:E)</f>
        <v>128</v>
      </c>
      <c r="N416" s="6">
        <f t="shared" si="26"/>
        <v>384</v>
      </c>
      <c r="O416" s="8">
        <f t="shared" si="27"/>
        <v>-33837</v>
      </c>
      <c r="Q416" s="8"/>
      <c r="R416" s="8"/>
    </row>
    <row r="417" spans="1:18">
      <c r="A417" s="4">
        <v>100940</v>
      </c>
      <c r="B417" s="1">
        <v>45397</v>
      </c>
      <c r="C417" s="1">
        <v>45296</v>
      </c>
      <c r="D417" t="s">
        <v>226</v>
      </c>
      <c r="E417" t="s">
        <v>93</v>
      </c>
      <c r="F417">
        <v>3</v>
      </c>
      <c r="G417">
        <v>765</v>
      </c>
      <c r="H417">
        <v>15</v>
      </c>
      <c r="I417" t="s">
        <v>12</v>
      </c>
      <c r="J417" t="s">
        <v>16</v>
      </c>
      <c r="K417" s="6">
        <f t="shared" si="24"/>
        <v>2295</v>
      </c>
      <c r="L417" s="6">
        <f t="shared" si="25"/>
        <v>-32130</v>
      </c>
      <c r="M417" s="6">
        <f>_xlfn.XLOOKUP(E417, Products!A:A, Products!E:E)</f>
        <v>222</v>
      </c>
      <c r="N417" s="6">
        <f t="shared" si="26"/>
        <v>666</v>
      </c>
      <c r="O417" s="8">
        <f t="shared" si="27"/>
        <v>-32796</v>
      </c>
      <c r="Q417" s="8"/>
      <c r="R417" s="8"/>
    </row>
    <row r="418" spans="1:18">
      <c r="A418" s="4">
        <v>100689</v>
      </c>
      <c r="B418" s="1">
        <v>45396</v>
      </c>
      <c r="C418" s="1">
        <v>45300</v>
      </c>
      <c r="D418" t="s">
        <v>262</v>
      </c>
      <c r="E418" t="s">
        <v>138</v>
      </c>
      <c r="F418">
        <v>3</v>
      </c>
      <c r="G418">
        <v>1421</v>
      </c>
      <c r="H418">
        <v>0</v>
      </c>
      <c r="I418" t="s">
        <v>19</v>
      </c>
      <c r="J418" t="s">
        <v>13</v>
      </c>
      <c r="K418" s="6">
        <f t="shared" si="24"/>
        <v>4263</v>
      </c>
      <c r="L418" s="6">
        <f t="shared" si="25"/>
        <v>4263</v>
      </c>
      <c r="M418" s="6">
        <f>_xlfn.XLOOKUP(E418, Products!A:A, Products!E:E)</f>
        <v>186</v>
      </c>
      <c r="N418" s="6">
        <f t="shared" si="26"/>
        <v>558</v>
      </c>
      <c r="O418" s="8">
        <f t="shared" si="27"/>
        <v>3705</v>
      </c>
      <c r="Q418" s="8"/>
      <c r="R418" s="8"/>
    </row>
    <row r="419" spans="1:18">
      <c r="A419" s="4">
        <v>100458</v>
      </c>
      <c r="B419" s="1">
        <v>45393</v>
      </c>
      <c r="C419" s="1">
        <v>45294</v>
      </c>
      <c r="D419" t="s">
        <v>352</v>
      </c>
      <c r="E419" t="s">
        <v>28</v>
      </c>
      <c r="F419">
        <v>3</v>
      </c>
      <c r="G419">
        <v>649</v>
      </c>
      <c r="H419">
        <v>10</v>
      </c>
      <c r="I419" t="s">
        <v>12</v>
      </c>
      <c r="J419" t="s">
        <v>22</v>
      </c>
      <c r="K419" s="6">
        <f t="shared" si="24"/>
        <v>1947</v>
      </c>
      <c r="L419" s="6">
        <f t="shared" si="25"/>
        <v>-17523</v>
      </c>
      <c r="M419" s="6">
        <f>_xlfn.XLOOKUP(E419, Products!A:A, Products!E:E)</f>
        <v>160</v>
      </c>
      <c r="N419" s="6">
        <f t="shared" si="26"/>
        <v>480</v>
      </c>
      <c r="O419" s="8">
        <f t="shared" si="27"/>
        <v>-18003</v>
      </c>
      <c r="Q419" s="8"/>
      <c r="R419" s="8"/>
    </row>
    <row r="420" spans="1:18">
      <c r="A420" s="4">
        <v>100672</v>
      </c>
      <c r="B420" s="1">
        <v>45390</v>
      </c>
      <c r="C420" s="1">
        <v>45295</v>
      </c>
      <c r="D420" t="s">
        <v>322</v>
      </c>
      <c r="E420" t="s">
        <v>242</v>
      </c>
      <c r="F420">
        <v>3</v>
      </c>
      <c r="G420">
        <v>967</v>
      </c>
      <c r="H420">
        <v>15</v>
      </c>
      <c r="I420" t="s">
        <v>32</v>
      </c>
      <c r="J420" t="s">
        <v>22</v>
      </c>
      <c r="K420" s="6">
        <f t="shared" si="24"/>
        <v>2901</v>
      </c>
      <c r="L420" s="6">
        <f t="shared" si="25"/>
        <v>-40614</v>
      </c>
      <c r="M420" s="6">
        <f>_xlfn.XLOOKUP(E420, Products!A:A, Products!E:E)</f>
        <v>140</v>
      </c>
      <c r="N420" s="6">
        <f t="shared" si="26"/>
        <v>420</v>
      </c>
      <c r="O420" s="8">
        <f t="shared" si="27"/>
        <v>-41034</v>
      </c>
      <c r="Q420" s="8"/>
      <c r="R420" s="8"/>
    </row>
    <row r="421" spans="1:18">
      <c r="A421" s="4">
        <v>100880</v>
      </c>
      <c r="B421" s="1">
        <v>45390</v>
      </c>
      <c r="C421" s="1">
        <v>45299</v>
      </c>
      <c r="D421" t="s">
        <v>308</v>
      </c>
      <c r="E421" t="s">
        <v>65</v>
      </c>
      <c r="F421">
        <v>3</v>
      </c>
      <c r="G421">
        <v>1605</v>
      </c>
      <c r="H421">
        <v>10</v>
      </c>
      <c r="I421" t="s">
        <v>12</v>
      </c>
      <c r="J421" t="s">
        <v>26</v>
      </c>
      <c r="K421" s="6">
        <f t="shared" si="24"/>
        <v>4815</v>
      </c>
      <c r="L421" s="6">
        <f t="shared" si="25"/>
        <v>-43335</v>
      </c>
      <c r="M421" s="6">
        <f>_xlfn.XLOOKUP(E421, Products!A:A, Products!E:E)</f>
        <v>213</v>
      </c>
      <c r="N421" s="6">
        <f t="shared" si="26"/>
        <v>639</v>
      </c>
      <c r="O421" s="8">
        <f t="shared" si="27"/>
        <v>-43974</v>
      </c>
      <c r="Q421" s="8"/>
      <c r="R421" s="8"/>
    </row>
    <row r="422" spans="1:18">
      <c r="A422" s="4">
        <v>100130</v>
      </c>
      <c r="B422" s="1">
        <v>45389</v>
      </c>
      <c r="C422" s="1">
        <v>45300</v>
      </c>
      <c r="D422" t="s">
        <v>198</v>
      </c>
      <c r="E422" t="s">
        <v>83</v>
      </c>
      <c r="F422">
        <v>3</v>
      </c>
      <c r="G422">
        <v>985</v>
      </c>
      <c r="H422">
        <v>15</v>
      </c>
      <c r="I422" t="s">
        <v>12</v>
      </c>
      <c r="J422" t="s">
        <v>16</v>
      </c>
      <c r="K422" s="6">
        <f t="shared" si="24"/>
        <v>2955</v>
      </c>
      <c r="L422" s="6">
        <f t="shared" si="25"/>
        <v>-41370</v>
      </c>
      <c r="M422" s="6">
        <f>_xlfn.XLOOKUP(E422, Products!A:A, Products!E:E)</f>
        <v>243</v>
      </c>
      <c r="N422" s="6">
        <f t="shared" si="26"/>
        <v>729</v>
      </c>
      <c r="O422" s="8">
        <f t="shared" si="27"/>
        <v>-42099</v>
      </c>
      <c r="Q422" s="8"/>
      <c r="R422" s="8"/>
    </row>
    <row r="423" spans="1:18">
      <c r="A423" s="4">
        <v>100733</v>
      </c>
      <c r="B423" s="1">
        <v>45387</v>
      </c>
      <c r="C423" s="1">
        <v>45297</v>
      </c>
      <c r="D423" t="s">
        <v>301</v>
      </c>
      <c r="E423" t="s">
        <v>139</v>
      </c>
      <c r="F423">
        <v>3</v>
      </c>
      <c r="G423">
        <v>1318</v>
      </c>
      <c r="H423">
        <v>0</v>
      </c>
      <c r="I423" t="s">
        <v>29</v>
      </c>
      <c r="J423" t="s">
        <v>13</v>
      </c>
      <c r="K423" s="6">
        <f t="shared" si="24"/>
        <v>3954</v>
      </c>
      <c r="L423" s="6">
        <f t="shared" si="25"/>
        <v>3954</v>
      </c>
      <c r="M423" s="6">
        <f>_xlfn.XLOOKUP(E423, Products!A:A, Products!E:E)</f>
        <v>280</v>
      </c>
      <c r="N423" s="6">
        <f t="shared" si="26"/>
        <v>840</v>
      </c>
      <c r="O423" s="8">
        <f t="shared" si="27"/>
        <v>3114</v>
      </c>
      <c r="Q423" s="8"/>
      <c r="R423" s="8"/>
    </row>
    <row r="424" spans="1:18">
      <c r="A424" s="4">
        <v>100533</v>
      </c>
      <c r="B424" s="1">
        <v>45385</v>
      </c>
      <c r="C424" s="1">
        <v>45294</v>
      </c>
      <c r="D424" t="s">
        <v>307</v>
      </c>
      <c r="E424" t="s">
        <v>21</v>
      </c>
      <c r="F424">
        <v>3</v>
      </c>
      <c r="G424">
        <v>1233</v>
      </c>
      <c r="H424">
        <v>5</v>
      </c>
      <c r="I424" t="s">
        <v>32</v>
      </c>
      <c r="J424" t="s">
        <v>22</v>
      </c>
      <c r="K424" s="6">
        <f t="shared" si="24"/>
        <v>3699</v>
      </c>
      <c r="L424" s="6">
        <f t="shared" si="25"/>
        <v>-14796</v>
      </c>
      <c r="M424" s="6">
        <f>_xlfn.XLOOKUP(E424, Products!A:A, Products!E:E)</f>
        <v>279</v>
      </c>
      <c r="N424" s="6">
        <f t="shared" si="26"/>
        <v>837</v>
      </c>
      <c r="O424" s="8">
        <f t="shared" si="27"/>
        <v>-15633</v>
      </c>
      <c r="Q424" s="8"/>
      <c r="R424" s="8"/>
    </row>
    <row r="425" spans="1:18">
      <c r="A425" s="4">
        <v>100440</v>
      </c>
      <c r="B425" s="1">
        <v>45378</v>
      </c>
      <c r="C425" s="1">
        <v>45298</v>
      </c>
      <c r="D425" t="s">
        <v>175</v>
      </c>
      <c r="E425" t="s">
        <v>112</v>
      </c>
      <c r="F425">
        <v>3</v>
      </c>
      <c r="G425">
        <v>1236</v>
      </c>
      <c r="H425">
        <v>0</v>
      </c>
      <c r="I425" t="s">
        <v>29</v>
      </c>
      <c r="J425" t="s">
        <v>26</v>
      </c>
      <c r="K425" s="6">
        <f t="shared" si="24"/>
        <v>3708</v>
      </c>
      <c r="L425" s="6">
        <f t="shared" si="25"/>
        <v>3708</v>
      </c>
      <c r="M425" s="6">
        <f>_xlfn.XLOOKUP(E425, Products!A:A, Products!E:E)</f>
        <v>72</v>
      </c>
      <c r="N425" s="6">
        <f t="shared" si="26"/>
        <v>216</v>
      </c>
      <c r="O425" s="8">
        <f t="shared" si="27"/>
        <v>3492</v>
      </c>
      <c r="Q425" s="8"/>
      <c r="R425" s="8"/>
    </row>
    <row r="426" spans="1:18">
      <c r="A426" s="4">
        <v>100011</v>
      </c>
      <c r="B426" s="1">
        <v>45377</v>
      </c>
      <c r="C426" s="1">
        <v>45296</v>
      </c>
      <c r="D426" t="s">
        <v>38</v>
      </c>
      <c r="E426" t="s">
        <v>39</v>
      </c>
      <c r="F426">
        <v>3</v>
      </c>
      <c r="G426">
        <v>1672</v>
      </c>
      <c r="H426">
        <v>5</v>
      </c>
      <c r="I426" t="s">
        <v>19</v>
      </c>
      <c r="J426" t="s">
        <v>16</v>
      </c>
      <c r="K426" s="6">
        <f t="shared" si="24"/>
        <v>5016</v>
      </c>
      <c r="L426" s="6">
        <f t="shared" si="25"/>
        <v>-20064</v>
      </c>
      <c r="M426" s="6">
        <f>_xlfn.XLOOKUP(E426, Products!A:A, Products!E:E)</f>
        <v>238</v>
      </c>
      <c r="N426" s="6">
        <f t="shared" si="26"/>
        <v>714</v>
      </c>
      <c r="O426" s="8">
        <f t="shared" si="27"/>
        <v>-20778</v>
      </c>
      <c r="Q426" s="8"/>
      <c r="R426" s="8"/>
    </row>
    <row r="427" spans="1:18">
      <c r="A427" s="4">
        <v>100746</v>
      </c>
      <c r="B427" s="1">
        <v>45376</v>
      </c>
      <c r="C427" s="1">
        <v>45300</v>
      </c>
      <c r="D427" t="s">
        <v>169</v>
      </c>
      <c r="E427" t="s">
        <v>236</v>
      </c>
      <c r="F427">
        <v>3</v>
      </c>
      <c r="G427">
        <v>547</v>
      </c>
      <c r="H427">
        <v>15</v>
      </c>
      <c r="I427" t="s">
        <v>29</v>
      </c>
      <c r="J427" t="s">
        <v>22</v>
      </c>
      <c r="K427" s="6">
        <f t="shared" si="24"/>
        <v>1641</v>
      </c>
      <c r="L427" s="6">
        <f t="shared" si="25"/>
        <v>-22974</v>
      </c>
      <c r="M427" s="6">
        <f>_xlfn.XLOOKUP(E427, Products!A:A, Products!E:E)</f>
        <v>120</v>
      </c>
      <c r="N427" s="6">
        <f t="shared" si="26"/>
        <v>360</v>
      </c>
      <c r="O427" s="8">
        <f t="shared" si="27"/>
        <v>-23334</v>
      </c>
      <c r="Q427" s="8"/>
      <c r="R427" s="8"/>
    </row>
    <row r="428" spans="1:18">
      <c r="A428" s="4">
        <v>100894</v>
      </c>
      <c r="B428" s="1">
        <v>45373</v>
      </c>
      <c r="C428" s="1">
        <v>45300</v>
      </c>
      <c r="D428" t="s">
        <v>47</v>
      </c>
      <c r="E428" t="s">
        <v>77</v>
      </c>
      <c r="F428">
        <v>3</v>
      </c>
      <c r="G428">
        <v>659</v>
      </c>
      <c r="H428">
        <v>0</v>
      </c>
      <c r="I428" t="s">
        <v>32</v>
      </c>
      <c r="J428" t="s">
        <v>16</v>
      </c>
      <c r="K428" s="6">
        <f t="shared" si="24"/>
        <v>1977</v>
      </c>
      <c r="L428" s="6">
        <f t="shared" si="25"/>
        <v>1977</v>
      </c>
      <c r="M428" s="6">
        <f>_xlfn.XLOOKUP(E428, Products!A:A, Products!E:E)</f>
        <v>94</v>
      </c>
      <c r="N428" s="6">
        <f t="shared" si="26"/>
        <v>282</v>
      </c>
      <c r="O428" s="8">
        <f t="shared" si="27"/>
        <v>1695</v>
      </c>
      <c r="Q428" s="8"/>
      <c r="R428" s="8"/>
    </row>
    <row r="429" spans="1:18">
      <c r="A429" s="4">
        <v>100343</v>
      </c>
      <c r="B429" s="1">
        <v>45372</v>
      </c>
      <c r="C429" s="1">
        <v>45297</v>
      </c>
      <c r="D429" t="s">
        <v>159</v>
      </c>
      <c r="E429" t="s">
        <v>57</v>
      </c>
      <c r="F429">
        <v>3</v>
      </c>
      <c r="G429">
        <v>1408</v>
      </c>
      <c r="H429">
        <v>5</v>
      </c>
      <c r="I429" t="s">
        <v>32</v>
      </c>
      <c r="J429" t="s">
        <v>16</v>
      </c>
      <c r="K429" s="6">
        <f t="shared" si="24"/>
        <v>4224</v>
      </c>
      <c r="L429" s="6">
        <f t="shared" si="25"/>
        <v>-16896</v>
      </c>
      <c r="M429" s="6">
        <f>_xlfn.XLOOKUP(E429, Products!A:A, Products!E:E)</f>
        <v>270</v>
      </c>
      <c r="N429" s="6">
        <f t="shared" si="26"/>
        <v>810</v>
      </c>
      <c r="O429" s="8">
        <f t="shared" si="27"/>
        <v>-17706</v>
      </c>
      <c r="Q429" s="8"/>
      <c r="R429" s="8"/>
    </row>
    <row r="430" spans="1:18">
      <c r="A430" s="4">
        <v>100183</v>
      </c>
      <c r="B430" s="1">
        <v>45372</v>
      </c>
      <c r="C430" s="1">
        <v>45297</v>
      </c>
      <c r="D430" t="s">
        <v>233</v>
      </c>
      <c r="E430" t="s">
        <v>87</v>
      </c>
      <c r="F430">
        <v>3</v>
      </c>
      <c r="G430">
        <v>675</v>
      </c>
      <c r="H430">
        <v>15</v>
      </c>
      <c r="I430" t="s">
        <v>29</v>
      </c>
      <c r="J430" t="s">
        <v>16</v>
      </c>
      <c r="K430" s="6">
        <f t="shared" si="24"/>
        <v>2025</v>
      </c>
      <c r="L430" s="6">
        <f t="shared" si="25"/>
        <v>-28350</v>
      </c>
      <c r="M430" s="6">
        <f>_xlfn.XLOOKUP(E430, Products!A:A, Products!E:E)</f>
        <v>269</v>
      </c>
      <c r="N430" s="6">
        <f t="shared" si="26"/>
        <v>807</v>
      </c>
      <c r="O430" s="8">
        <f t="shared" si="27"/>
        <v>-29157</v>
      </c>
      <c r="Q430" s="8"/>
      <c r="R430" s="8"/>
    </row>
    <row r="431" spans="1:18">
      <c r="A431" s="4">
        <v>100642</v>
      </c>
      <c r="B431" s="1">
        <v>45372</v>
      </c>
      <c r="C431" s="1">
        <v>45295</v>
      </c>
      <c r="D431" t="s">
        <v>379</v>
      </c>
      <c r="E431" t="s">
        <v>115</v>
      </c>
      <c r="F431">
        <v>3</v>
      </c>
      <c r="G431">
        <v>1997</v>
      </c>
      <c r="H431">
        <v>5</v>
      </c>
      <c r="I431" t="s">
        <v>19</v>
      </c>
      <c r="J431" t="s">
        <v>13</v>
      </c>
      <c r="K431" s="6">
        <f t="shared" si="24"/>
        <v>5991</v>
      </c>
      <c r="L431" s="6">
        <f t="shared" si="25"/>
        <v>-23964</v>
      </c>
      <c r="M431" s="6">
        <f>_xlfn.XLOOKUP(E431, Products!A:A, Products!E:E)</f>
        <v>211</v>
      </c>
      <c r="N431" s="6">
        <f t="shared" si="26"/>
        <v>633</v>
      </c>
      <c r="O431" s="8">
        <f t="shared" si="27"/>
        <v>-24597</v>
      </c>
      <c r="Q431" s="8"/>
      <c r="R431" s="8"/>
    </row>
    <row r="432" spans="1:18">
      <c r="A432" s="4">
        <v>100106</v>
      </c>
      <c r="B432" s="1">
        <v>45371</v>
      </c>
      <c r="C432" s="1">
        <v>45300</v>
      </c>
      <c r="D432" t="s">
        <v>173</v>
      </c>
      <c r="E432" t="s">
        <v>123</v>
      </c>
      <c r="F432">
        <v>3</v>
      </c>
      <c r="G432">
        <v>962</v>
      </c>
      <c r="H432">
        <v>15</v>
      </c>
      <c r="I432" t="s">
        <v>19</v>
      </c>
      <c r="J432" t="s">
        <v>22</v>
      </c>
      <c r="K432" s="6">
        <f t="shared" si="24"/>
        <v>2886</v>
      </c>
      <c r="L432" s="6">
        <f t="shared" si="25"/>
        <v>-40404</v>
      </c>
      <c r="M432" s="6">
        <f>_xlfn.XLOOKUP(E432, Products!A:A, Products!E:E)</f>
        <v>154</v>
      </c>
      <c r="N432" s="6">
        <f t="shared" si="26"/>
        <v>462</v>
      </c>
      <c r="O432" s="8">
        <f t="shared" si="27"/>
        <v>-40866</v>
      </c>
      <c r="Q432" s="8"/>
      <c r="R432" s="8"/>
    </row>
    <row r="433" spans="1:18">
      <c r="A433" s="4">
        <v>100738</v>
      </c>
      <c r="B433" s="1">
        <v>45367</v>
      </c>
      <c r="C433" s="1">
        <v>45295</v>
      </c>
      <c r="D433" t="s">
        <v>199</v>
      </c>
      <c r="E433" t="s">
        <v>144</v>
      </c>
      <c r="F433">
        <v>3</v>
      </c>
      <c r="G433">
        <v>1584</v>
      </c>
      <c r="H433">
        <v>15</v>
      </c>
      <c r="I433" t="s">
        <v>19</v>
      </c>
      <c r="J433" t="s">
        <v>26</v>
      </c>
      <c r="K433" s="6">
        <f t="shared" si="24"/>
        <v>4752</v>
      </c>
      <c r="L433" s="6">
        <f t="shared" si="25"/>
        <v>-66528</v>
      </c>
      <c r="M433" s="6">
        <f>_xlfn.XLOOKUP(E433, Products!A:A, Products!E:E)</f>
        <v>247</v>
      </c>
      <c r="N433" s="6">
        <f t="shared" si="26"/>
        <v>741</v>
      </c>
      <c r="O433" s="8">
        <f t="shared" si="27"/>
        <v>-67269</v>
      </c>
      <c r="Q433" s="8"/>
      <c r="R433" s="8"/>
    </row>
    <row r="434" spans="1:18">
      <c r="A434" s="4">
        <v>100022</v>
      </c>
      <c r="B434" s="1">
        <v>45366</v>
      </c>
      <c r="C434" s="1">
        <v>45302</v>
      </c>
      <c r="D434" t="s">
        <v>42</v>
      </c>
      <c r="E434" t="s">
        <v>56</v>
      </c>
      <c r="F434">
        <v>3</v>
      </c>
      <c r="G434">
        <v>1602</v>
      </c>
      <c r="H434">
        <v>0</v>
      </c>
      <c r="I434" t="s">
        <v>32</v>
      </c>
      <c r="J434" t="s">
        <v>16</v>
      </c>
      <c r="K434" s="6">
        <f t="shared" si="24"/>
        <v>4806</v>
      </c>
      <c r="L434" s="6">
        <f t="shared" si="25"/>
        <v>4806</v>
      </c>
      <c r="M434" s="6">
        <f>_xlfn.XLOOKUP(E434, Products!A:A, Products!E:E)</f>
        <v>212</v>
      </c>
      <c r="N434" s="6">
        <f t="shared" si="26"/>
        <v>636</v>
      </c>
      <c r="O434" s="8">
        <f t="shared" si="27"/>
        <v>4170</v>
      </c>
      <c r="Q434" s="8"/>
      <c r="R434" s="8"/>
    </row>
    <row r="435" spans="1:18">
      <c r="A435" s="4">
        <v>100576</v>
      </c>
      <c r="B435" s="1">
        <v>45366</v>
      </c>
      <c r="C435" s="1">
        <v>45300</v>
      </c>
      <c r="D435" t="s">
        <v>127</v>
      </c>
      <c r="E435" t="s">
        <v>95</v>
      </c>
      <c r="F435">
        <v>3</v>
      </c>
      <c r="G435">
        <v>307</v>
      </c>
      <c r="H435">
        <v>10</v>
      </c>
      <c r="I435" t="s">
        <v>32</v>
      </c>
      <c r="J435" t="s">
        <v>16</v>
      </c>
      <c r="K435" s="6">
        <f t="shared" si="24"/>
        <v>921</v>
      </c>
      <c r="L435" s="6">
        <f t="shared" si="25"/>
        <v>-8289</v>
      </c>
      <c r="M435" s="6">
        <f>_xlfn.XLOOKUP(E435, Products!A:A, Products!E:E)</f>
        <v>113</v>
      </c>
      <c r="N435" s="6">
        <f t="shared" si="26"/>
        <v>339</v>
      </c>
      <c r="O435" s="8">
        <f t="shared" si="27"/>
        <v>-8628</v>
      </c>
      <c r="Q435" s="8"/>
      <c r="R435" s="8"/>
    </row>
    <row r="436" spans="1:18">
      <c r="A436" s="4">
        <v>100549</v>
      </c>
      <c r="B436" s="1">
        <v>45364</v>
      </c>
      <c r="C436" s="1">
        <v>45295</v>
      </c>
      <c r="D436" t="s">
        <v>301</v>
      </c>
      <c r="E436" t="s">
        <v>50</v>
      </c>
      <c r="F436">
        <v>3</v>
      </c>
      <c r="G436">
        <v>435</v>
      </c>
      <c r="H436">
        <v>15</v>
      </c>
      <c r="I436" t="s">
        <v>12</v>
      </c>
      <c r="J436" t="s">
        <v>16</v>
      </c>
      <c r="K436" s="6">
        <f t="shared" si="24"/>
        <v>1305</v>
      </c>
      <c r="L436" s="6">
        <f t="shared" si="25"/>
        <v>-18270</v>
      </c>
      <c r="M436" s="6">
        <f>_xlfn.XLOOKUP(E436, Products!A:A, Products!E:E)</f>
        <v>218</v>
      </c>
      <c r="N436" s="6">
        <f t="shared" si="26"/>
        <v>654</v>
      </c>
      <c r="O436" s="8">
        <f t="shared" si="27"/>
        <v>-18924</v>
      </c>
      <c r="Q436" s="8"/>
      <c r="R436" s="8"/>
    </row>
    <row r="437" spans="1:18">
      <c r="A437" s="4">
        <v>100656</v>
      </c>
      <c r="B437" s="1">
        <v>45364</v>
      </c>
      <c r="C437" s="1">
        <v>45296</v>
      </c>
      <c r="D437" t="s">
        <v>233</v>
      </c>
      <c r="E437" t="s">
        <v>87</v>
      </c>
      <c r="F437">
        <v>3</v>
      </c>
      <c r="G437">
        <v>363</v>
      </c>
      <c r="H437">
        <v>0</v>
      </c>
      <c r="I437" t="s">
        <v>32</v>
      </c>
      <c r="J437" t="s">
        <v>26</v>
      </c>
      <c r="K437" s="6">
        <f t="shared" si="24"/>
        <v>1089</v>
      </c>
      <c r="L437" s="6">
        <f t="shared" si="25"/>
        <v>1089</v>
      </c>
      <c r="M437" s="6">
        <f>_xlfn.XLOOKUP(E437, Products!A:A, Products!E:E)</f>
        <v>269</v>
      </c>
      <c r="N437" s="6">
        <f t="shared" si="26"/>
        <v>807</v>
      </c>
      <c r="O437" s="8">
        <f t="shared" si="27"/>
        <v>282</v>
      </c>
      <c r="Q437" s="8"/>
      <c r="R437" s="8"/>
    </row>
    <row r="438" spans="1:18">
      <c r="A438" s="4">
        <v>100460</v>
      </c>
      <c r="B438" s="1">
        <v>45359</v>
      </c>
      <c r="C438" s="1">
        <v>45294</v>
      </c>
      <c r="D438" t="s">
        <v>341</v>
      </c>
      <c r="E438" t="s">
        <v>164</v>
      </c>
      <c r="F438">
        <v>3</v>
      </c>
      <c r="G438">
        <v>709</v>
      </c>
      <c r="H438">
        <v>5</v>
      </c>
      <c r="I438" t="s">
        <v>29</v>
      </c>
      <c r="J438" t="s">
        <v>16</v>
      </c>
      <c r="K438" s="6">
        <f t="shared" si="24"/>
        <v>2127</v>
      </c>
      <c r="L438" s="6">
        <f t="shared" si="25"/>
        <v>-8508</v>
      </c>
      <c r="M438" s="6">
        <f>_xlfn.XLOOKUP(E438, Products!A:A, Products!E:E)</f>
        <v>156</v>
      </c>
      <c r="N438" s="6">
        <f t="shared" si="26"/>
        <v>468</v>
      </c>
      <c r="O438" s="8">
        <f t="shared" si="27"/>
        <v>-8976</v>
      </c>
      <c r="Q438" s="8"/>
      <c r="R438" s="8"/>
    </row>
    <row r="439" spans="1:18">
      <c r="A439" s="4">
        <v>100328</v>
      </c>
      <c r="B439" s="1">
        <v>45358</v>
      </c>
      <c r="C439" s="1">
        <v>45299</v>
      </c>
      <c r="D439" t="s">
        <v>308</v>
      </c>
      <c r="E439" t="s">
        <v>281</v>
      </c>
      <c r="F439">
        <v>3</v>
      </c>
      <c r="G439">
        <v>1229</v>
      </c>
      <c r="H439">
        <v>15</v>
      </c>
      <c r="I439" t="s">
        <v>29</v>
      </c>
      <c r="J439" t="s">
        <v>22</v>
      </c>
      <c r="K439" s="6">
        <f t="shared" si="24"/>
        <v>3687</v>
      </c>
      <c r="L439" s="6">
        <f t="shared" si="25"/>
        <v>-51618</v>
      </c>
      <c r="M439" s="6">
        <f>_xlfn.XLOOKUP(E439, Products!A:A, Products!E:E)</f>
        <v>117</v>
      </c>
      <c r="N439" s="6">
        <f t="shared" si="26"/>
        <v>351</v>
      </c>
      <c r="O439" s="8">
        <f t="shared" si="27"/>
        <v>-51969</v>
      </c>
      <c r="Q439" s="8"/>
      <c r="R439" s="8"/>
    </row>
    <row r="440" spans="1:18">
      <c r="A440" s="4">
        <v>100539</v>
      </c>
      <c r="B440" s="1">
        <v>45355</v>
      </c>
      <c r="C440" s="1">
        <v>45295</v>
      </c>
      <c r="D440" t="s">
        <v>366</v>
      </c>
      <c r="E440" t="s">
        <v>120</v>
      </c>
      <c r="F440">
        <v>3</v>
      </c>
      <c r="G440">
        <v>1594</v>
      </c>
      <c r="H440">
        <v>15</v>
      </c>
      <c r="I440" t="s">
        <v>12</v>
      </c>
      <c r="J440" t="s">
        <v>13</v>
      </c>
      <c r="K440" s="6">
        <f t="shared" si="24"/>
        <v>4782</v>
      </c>
      <c r="L440" s="6">
        <f t="shared" si="25"/>
        <v>-66948</v>
      </c>
      <c r="M440" s="6">
        <f>_xlfn.XLOOKUP(E440, Products!A:A, Products!E:E)</f>
        <v>52</v>
      </c>
      <c r="N440" s="6">
        <f t="shared" si="26"/>
        <v>156</v>
      </c>
      <c r="O440" s="8">
        <f t="shared" si="27"/>
        <v>-67104</v>
      </c>
      <c r="Q440" s="8"/>
      <c r="R440" s="8"/>
    </row>
    <row r="441" spans="1:18">
      <c r="A441" s="4">
        <v>100551</v>
      </c>
      <c r="B441" s="1">
        <v>45353</v>
      </c>
      <c r="C441" s="1">
        <v>45301</v>
      </c>
      <c r="D441" t="s">
        <v>292</v>
      </c>
      <c r="E441" t="s">
        <v>265</v>
      </c>
      <c r="F441">
        <v>3</v>
      </c>
      <c r="G441">
        <v>1403</v>
      </c>
      <c r="H441">
        <v>5</v>
      </c>
      <c r="I441" t="s">
        <v>32</v>
      </c>
      <c r="J441" t="s">
        <v>13</v>
      </c>
      <c r="K441" s="6">
        <f t="shared" si="24"/>
        <v>4209</v>
      </c>
      <c r="L441" s="6">
        <f t="shared" si="25"/>
        <v>-16836</v>
      </c>
      <c r="M441" s="6">
        <f>_xlfn.XLOOKUP(E441, Products!A:A, Products!E:E)</f>
        <v>218</v>
      </c>
      <c r="N441" s="6">
        <f t="shared" si="26"/>
        <v>654</v>
      </c>
      <c r="O441" s="8">
        <f t="shared" si="27"/>
        <v>-17490</v>
      </c>
      <c r="Q441" s="8"/>
      <c r="R441" s="8"/>
    </row>
    <row r="442" spans="1:18">
      <c r="A442" s="4">
        <v>100951</v>
      </c>
      <c r="B442" s="1">
        <v>45352</v>
      </c>
      <c r="C442" s="1">
        <v>45295</v>
      </c>
      <c r="D442" t="s">
        <v>161</v>
      </c>
      <c r="E442" t="s">
        <v>48</v>
      </c>
      <c r="F442">
        <v>3</v>
      </c>
      <c r="G442">
        <v>1329</v>
      </c>
      <c r="H442">
        <v>5</v>
      </c>
      <c r="I442" t="s">
        <v>12</v>
      </c>
      <c r="J442" t="s">
        <v>26</v>
      </c>
      <c r="K442" s="6">
        <f t="shared" si="24"/>
        <v>3987</v>
      </c>
      <c r="L442" s="6">
        <f t="shared" si="25"/>
        <v>-15948</v>
      </c>
      <c r="M442" s="6">
        <f>_xlfn.XLOOKUP(E442, Products!A:A, Products!E:E)</f>
        <v>179</v>
      </c>
      <c r="N442" s="6">
        <f t="shared" si="26"/>
        <v>537</v>
      </c>
      <c r="O442" s="8">
        <f t="shared" si="27"/>
        <v>-16485</v>
      </c>
      <c r="Q442" s="8"/>
      <c r="R442" s="8"/>
    </row>
    <row r="443" spans="1:18">
      <c r="A443" s="4">
        <v>100998</v>
      </c>
      <c r="B443" s="1">
        <v>45352</v>
      </c>
      <c r="C443" s="1">
        <v>45294</v>
      </c>
      <c r="D443" t="s">
        <v>241</v>
      </c>
      <c r="E443" t="s">
        <v>212</v>
      </c>
      <c r="F443">
        <v>3</v>
      </c>
      <c r="G443">
        <v>1570</v>
      </c>
      <c r="H443">
        <v>15</v>
      </c>
      <c r="I443" t="s">
        <v>12</v>
      </c>
      <c r="J443" t="s">
        <v>22</v>
      </c>
      <c r="K443" s="6">
        <f t="shared" si="24"/>
        <v>4710</v>
      </c>
      <c r="L443" s="6">
        <f t="shared" si="25"/>
        <v>-65940</v>
      </c>
      <c r="M443" s="6">
        <f>_xlfn.XLOOKUP(E443, Products!A:A, Products!E:E)</f>
        <v>196</v>
      </c>
      <c r="N443" s="6">
        <f t="shared" si="26"/>
        <v>588</v>
      </c>
      <c r="O443" s="8">
        <f t="shared" si="27"/>
        <v>-66528</v>
      </c>
      <c r="Q443" s="8"/>
      <c r="R443" s="8"/>
    </row>
    <row r="444" spans="1:18">
      <c r="A444" s="4">
        <v>100378</v>
      </c>
      <c r="B444" s="1">
        <v>45349</v>
      </c>
      <c r="C444" s="1">
        <v>45301</v>
      </c>
      <c r="D444" t="s">
        <v>78</v>
      </c>
      <c r="E444" t="s">
        <v>118</v>
      </c>
      <c r="F444">
        <v>3</v>
      </c>
      <c r="G444">
        <v>1311</v>
      </c>
      <c r="H444">
        <v>0</v>
      </c>
      <c r="I444" t="s">
        <v>29</v>
      </c>
      <c r="J444" t="s">
        <v>13</v>
      </c>
      <c r="K444" s="6">
        <f t="shared" si="24"/>
        <v>3933</v>
      </c>
      <c r="L444" s="6">
        <f t="shared" si="25"/>
        <v>3933</v>
      </c>
      <c r="M444" s="6">
        <f>_xlfn.XLOOKUP(E444, Products!A:A, Products!E:E)</f>
        <v>115</v>
      </c>
      <c r="N444" s="6">
        <f t="shared" si="26"/>
        <v>345</v>
      </c>
      <c r="O444" s="8">
        <f t="shared" si="27"/>
        <v>3588</v>
      </c>
      <c r="Q444" s="8"/>
      <c r="R444" s="8"/>
    </row>
    <row r="445" spans="1:18">
      <c r="A445" s="4">
        <v>100312</v>
      </c>
      <c r="B445" s="1">
        <v>45348</v>
      </c>
      <c r="C445" s="1">
        <v>45300</v>
      </c>
      <c r="D445" t="s">
        <v>270</v>
      </c>
      <c r="E445" t="s">
        <v>83</v>
      </c>
      <c r="F445">
        <v>3</v>
      </c>
      <c r="G445">
        <v>297</v>
      </c>
      <c r="H445">
        <v>10</v>
      </c>
      <c r="I445" t="s">
        <v>32</v>
      </c>
      <c r="J445" t="s">
        <v>16</v>
      </c>
      <c r="K445" s="6">
        <f t="shared" si="24"/>
        <v>891</v>
      </c>
      <c r="L445" s="6">
        <f t="shared" si="25"/>
        <v>-8019</v>
      </c>
      <c r="M445" s="6">
        <f>_xlfn.XLOOKUP(E445, Products!A:A, Products!E:E)</f>
        <v>243</v>
      </c>
      <c r="N445" s="6">
        <f t="shared" si="26"/>
        <v>729</v>
      </c>
      <c r="O445" s="8">
        <f t="shared" si="27"/>
        <v>-8748</v>
      </c>
      <c r="Q445" s="8"/>
      <c r="R445" s="8"/>
    </row>
    <row r="446" spans="1:18">
      <c r="A446" s="4">
        <v>100411</v>
      </c>
      <c r="B446" s="1">
        <v>45346</v>
      </c>
      <c r="C446" s="1">
        <v>45294</v>
      </c>
      <c r="D446" t="s">
        <v>51</v>
      </c>
      <c r="E446" t="s">
        <v>73</v>
      </c>
      <c r="F446">
        <v>3</v>
      </c>
      <c r="G446">
        <v>1015</v>
      </c>
      <c r="H446">
        <v>0</v>
      </c>
      <c r="I446" t="s">
        <v>29</v>
      </c>
      <c r="J446" t="s">
        <v>13</v>
      </c>
      <c r="K446" s="6">
        <f t="shared" si="24"/>
        <v>3045</v>
      </c>
      <c r="L446" s="6">
        <f t="shared" si="25"/>
        <v>3045</v>
      </c>
      <c r="M446" s="6">
        <f>_xlfn.XLOOKUP(E446, Products!A:A, Products!E:E)</f>
        <v>243</v>
      </c>
      <c r="N446" s="6">
        <f t="shared" si="26"/>
        <v>729</v>
      </c>
      <c r="O446" s="8">
        <f t="shared" si="27"/>
        <v>2316</v>
      </c>
      <c r="Q446" s="8"/>
      <c r="R446" s="8"/>
    </row>
    <row r="447" spans="1:18">
      <c r="A447" s="4">
        <v>100905</v>
      </c>
      <c r="B447" s="1">
        <v>45346</v>
      </c>
      <c r="C447" s="1">
        <v>45296</v>
      </c>
      <c r="D447" t="s">
        <v>381</v>
      </c>
      <c r="E447" t="s">
        <v>15</v>
      </c>
      <c r="F447">
        <v>3</v>
      </c>
      <c r="G447">
        <v>1996</v>
      </c>
      <c r="H447">
        <v>10</v>
      </c>
      <c r="I447" t="s">
        <v>29</v>
      </c>
      <c r="J447" t="s">
        <v>13</v>
      </c>
      <c r="K447" s="6">
        <f t="shared" si="24"/>
        <v>5988</v>
      </c>
      <c r="L447" s="6">
        <f t="shared" si="25"/>
        <v>-53892</v>
      </c>
      <c r="M447" s="6">
        <f>_xlfn.XLOOKUP(E447, Products!A:A, Products!E:E)</f>
        <v>242</v>
      </c>
      <c r="N447" s="6">
        <f t="shared" si="26"/>
        <v>726</v>
      </c>
      <c r="O447" s="8">
        <f t="shared" si="27"/>
        <v>-54618</v>
      </c>
      <c r="Q447" s="8"/>
      <c r="R447" s="8"/>
    </row>
    <row r="448" spans="1:18">
      <c r="A448" s="4">
        <v>100304</v>
      </c>
      <c r="B448" s="1">
        <v>45345</v>
      </c>
      <c r="C448" s="1">
        <v>45295</v>
      </c>
      <c r="D448" t="s">
        <v>234</v>
      </c>
      <c r="E448" t="s">
        <v>85</v>
      </c>
      <c r="F448">
        <v>3</v>
      </c>
      <c r="G448">
        <v>1912</v>
      </c>
      <c r="H448">
        <v>10</v>
      </c>
      <c r="I448" t="s">
        <v>29</v>
      </c>
      <c r="J448" t="s">
        <v>26</v>
      </c>
      <c r="K448" s="6">
        <f t="shared" si="24"/>
        <v>5736</v>
      </c>
      <c r="L448" s="6">
        <f t="shared" si="25"/>
        <v>-51624</v>
      </c>
      <c r="M448" s="6">
        <f>_xlfn.XLOOKUP(E448, Products!A:A, Products!E:E)</f>
        <v>148</v>
      </c>
      <c r="N448" s="6">
        <f t="shared" si="26"/>
        <v>444</v>
      </c>
      <c r="O448" s="8">
        <f t="shared" si="27"/>
        <v>-52068</v>
      </c>
      <c r="Q448" s="8"/>
      <c r="R448" s="8"/>
    </row>
    <row r="449" spans="1:18">
      <c r="A449" s="4">
        <v>100900</v>
      </c>
      <c r="B449" s="1">
        <v>45344</v>
      </c>
      <c r="C449" s="1">
        <v>45294</v>
      </c>
      <c r="D449" t="s">
        <v>397</v>
      </c>
      <c r="E449" t="s">
        <v>325</v>
      </c>
      <c r="F449">
        <v>3</v>
      </c>
      <c r="G449">
        <v>1018</v>
      </c>
      <c r="H449">
        <v>10</v>
      </c>
      <c r="I449" t="s">
        <v>29</v>
      </c>
      <c r="J449" t="s">
        <v>16</v>
      </c>
      <c r="K449" s="6">
        <f t="shared" si="24"/>
        <v>3054</v>
      </c>
      <c r="L449" s="6">
        <f t="shared" si="25"/>
        <v>-27486</v>
      </c>
      <c r="M449" s="6">
        <f>_xlfn.XLOOKUP(E449, Products!A:A, Products!E:E)</f>
        <v>68</v>
      </c>
      <c r="N449" s="6">
        <f t="shared" si="26"/>
        <v>204</v>
      </c>
      <c r="O449" s="8">
        <f t="shared" si="27"/>
        <v>-27690</v>
      </c>
      <c r="Q449" s="8"/>
      <c r="R449" s="8"/>
    </row>
    <row r="450" spans="1:18">
      <c r="A450" s="4">
        <v>100441</v>
      </c>
      <c r="B450" s="1">
        <v>45343</v>
      </c>
      <c r="C450" s="1">
        <v>45298</v>
      </c>
      <c r="D450" t="s">
        <v>350</v>
      </c>
      <c r="E450" t="s">
        <v>87</v>
      </c>
      <c r="F450">
        <v>3</v>
      </c>
      <c r="G450">
        <v>1762</v>
      </c>
      <c r="H450">
        <v>0</v>
      </c>
      <c r="I450" t="s">
        <v>19</v>
      </c>
      <c r="J450" t="s">
        <v>13</v>
      </c>
      <c r="K450" s="6">
        <f t="shared" ref="K450:K513" si="28">F450*G450</f>
        <v>5286</v>
      </c>
      <c r="L450" s="6">
        <f t="shared" si="25"/>
        <v>5286</v>
      </c>
      <c r="M450" s="6">
        <f>_xlfn.XLOOKUP(E450, Products!A:A, Products!E:E)</f>
        <v>269</v>
      </c>
      <c r="N450" s="6">
        <f t="shared" si="26"/>
        <v>807</v>
      </c>
      <c r="O450" s="8">
        <f t="shared" si="27"/>
        <v>4479</v>
      </c>
      <c r="Q450" s="8"/>
      <c r="R450" s="8"/>
    </row>
    <row r="451" spans="1:18">
      <c r="A451" s="4">
        <v>100962</v>
      </c>
      <c r="B451" s="1">
        <v>45342</v>
      </c>
      <c r="C451" s="1">
        <v>45300</v>
      </c>
      <c r="D451" t="s">
        <v>244</v>
      </c>
      <c r="E451" t="s">
        <v>269</v>
      </c>
      <c r="F451">
        <v>3</v>
      </c>
      <c r="G451">
        <v>1054</v>
      </c>
      <c r="H451">
        <v>0</v>
      </c>
      <c r="I451" t="s">
        <v>12</v>
      </c>
      <c r="J451" t="s">
        <v>26</v>
      </c>
      <c r="K451" s="6">
        <f t="shared" si="28"/>
        <v>3162</v>
      </c>
      <c r="L451" s="6">
        <f t="shared" ref="L451:L514" si="29">F451*G451*(1-H451)</f>
        <v>3162</v>
      </c>
      <c r="M451" s="6">
        <f>_xlfn.XLOOKUP(E451, Products!A:A, Products!E:E)</f>
        <v>128</v>
      </c>
      <c r="N451" s="6">
        <f t="shared" ref="N451:N514" si="30">F451*M451</f>
        <v>384</v>
      </c>
      <c r="O451" s="8">
        <f t="shared" ref="O451:O514" si="31">L451-N451</f>
        <v>2778</v>
      </c>
      <c r="Q451" s="8"/>
      <c r="R451" s="8"/>
    </row>
    <row r="452" spans="1:18">
      <c r="A452" s="4">
        <v>100801</v>
      </c>
      <c r="B452" s="1">
        <v>45340</v>
      </c>
      <c r="C452" s="1">
        <v>45295</v>
      </c>
      <c r="D452" t="s">
        <v>344</v>
      </c>
      <c r="E452" t="s">
        <v>46</v>
      </c>
      <c r="F452">
        <v>3</v>
      </c>
      <c r="G452">
        <v>1037</v>
      </c>
      <c r="H452">
        <v>5</v>
      </c>
      <c r="I452" t="s">
        <v>29</v>
      </c>
      <c r="J452" t="s">
        <v>22</v>
      </c>
      <c r="K452" s="6">
        <f t="shared" si="28"/>
        <v>3111</v>
      </c>
      <c r="L452" s="6">
        <f t="shared" si="29"/>
        <v>-12444</v>
      </c>
      <c r="M452" s="6">
        <f>_xlfn.XLOOKUP(E452, Products!A:A, Products!E:E)</f>
        <v>191</v>
      </c>
      <c r="N452" s="6">
        <f t="shared" si="30"/>
        <v>573</v>
      </c>
      <c r="O452" s="8">
        <f t="shared" si="31"/>
        <v>-13017</v>
      </c>
      <c r="Q452" s="8"/>
      <c r="R452" s="8"/>
    </row>
    <row r="453" spans="1:18">
      <c r="A453" s="4">
        <v>100554</v>
      </c>
      <c r="B453" s="1">
        <v>45340</v>
      </c>
      <c r="C453" s="1">
        <v>45301</v>
      </c>
      <c r="D453" t="s">
        <v>121</v>
      </c>
      <c r="E453" t="s">
        <v>15</v>
      </c>
      <c r="F453">
        <v>3</v>
      </c>
      <c r="G453">
        <v>772</v>
      </c>
      <c r="H453">
        <v>15</v>
      </c>
      <c r="I453" t="s">
        <v>19</v>
      </c>
      <c r="J453" t="s">
        <v>26</v>
      </c>
      <c r="K453" s="6">
        <f t="shared" si="28"/>
        <v>2316</v>
      </c>
      <c r="L453" s="6">
        <f t="shared" si="29"/>
        <v>-32424</v>
      </c>
      <c r="M453" s="6">
        <f>_xlfn.XLOOKUP(E453, Products!A:A, Products!E:E)</f>
        <v>242</v>
      </c>
      <c r="N453" s="6">
        <f t="shared" si="30"/>
        <v>726</v>
      </c>
      <c r="O453" s="8">
        <f t="shared" si="31"/>
        <v>-33150</v>
      </c>
      <c r="Q453" s="8"/>
      <c r="R453" s="8"/>
    </row>
    <row r="454" spans="1:18">
      <c r="A454" s="4">
        <v>100659</v>
      </c>
      <c r="B454" s="1">
        <v>45336</v>
      </c>
      <c r="C454" s="1">
        <v>45300</v>
      </c>
      <c r="D454" t="s">
        <v>74</v>
      </c>
      <c r="E454" t="s">
        <v>89</v>
      </c>
      <c r="F454">
        <v>3</v>
      </c>
      <c r="G454">
        <v>1266</v>
      </c>
      <c r="H454">
        <v>10</v>
      </c>
      <c r="I454" t="s">
        <v>19</v>
      </c>
      <c r="J454" t="s">
        <v>16</v>
      </c>
      <c r="K454" s="6">
        <f t="shared" si="28"/>
        <v>3798</v>
      </c>
      <c r="L454" s="6">
        <f t="shared" si="29"/>
        <v>-34182</v>
      </c>
      <c r="M454" s="6">
        <f>_xlfn.XLOOKUP(E454, Products!A:A, Products!E:E)</f>
        <v>184</v>
      </c>
      <c r="N454" s="6">
        <f t="shared" si="30"/>
        <v>552</v>
      </c>
      <c r="O454" s="8">
        <f t="shared" si="31"/>
        <v>-34734</v>
      </c>
      <c r="Q454" s="8"/>
      <c r="R454" s="8"/>
    </row>
    <row r="455" spans="1:18">
      <c r="A455" s="4">
        <v>100696</v>
      </c>
      <c r="B455" s="1">
        <v>45334</v>
      </c>
      <c r="C455" s="1">
        <v>45295</v>
      </c>
      <c r="D455" t="s">
        <v>262</v>
      </c>
      <c r="E455" t="s">
        <v>46</v>
      </c>
      <c r="F455">
        <v>3</v>
      </c>
      <c r="G455">
        <v>1282</v>
      </c>
      <c r="H455">
        <v>15</v>
      </c>
      <c r="I455" t="s">
        <v>12</v>
      </c>
      <c r="J455" t="s">
        <v>26</v>
      </c>
      <c r="K455" s="6">
        <f t="shared" si="28"/>
        <v>3846</v>
      </c>
      <c r="L455" s="6">
        <f t="shared" si="29"/>
        <v>-53844</v>
      </c>
      <c r="M455" s="6">
        <f>_xlfn.XLOOKUP(E455, Products!A:A, Products!E:E)</f>
        <v>191</v>
      </c>
      <c r="N455" s="6">
        <f t="shared" si="30"/>
        <v>573</v>
      </c>
      <c r="O455" s="8">
        <f t="shared" si="31"/>
        <v>-54417</v>
      </c>
      <c r="Q455" s="8"/>
      <c r="R455" s="8"/>
    </row>
    <row r="456" spans="1:18">
      <c r="A456" s="4">
        <v>100352</v>
      </c>
      <c r="B456" s="1">
        <v>45334</v>
      </c>
      <c r="C456" s="1">
        <v>45294</v>
      </c>
      <c r="D456" t="s">
        <v>179</v>
      </c>
      <c r="E456" t="s">
        <v>145</v>
      </c>
      <c r="F456">
        <v>3</v>
      </c>
      <c r="G456">
        <v>1934</v>
      </c>
      <c r="H456">
        <v>0</v>
      </c>
      <c r="I456" t="s">
        <v>12</v>
      </c>
      <c r="J456" t="s">
        <v>26</v>
      </c>
      <c r="K456" s="6">
        <f t="shared" si="28"/>
        <v>5802</v>
      </c>
      <c r="L456" s="6">
        <f t="shared" si="29"/>
        <v>5802</v>
      </c>
      <c r="M456" s="6">
        <f>_xlfn.XLOOKUP(E456, Products!A:A, Products!E:E)</f>
        <v>247</v>
      </c>
      <c r="N456" s="6">
        <f t="shared" si="30"/>
        <v>741</v>
      </c>
      <c r="O456" s="8">
        <f t="shared" si="31"/>
        <v>5061</v>
      </c>
      <c r="Q456" s="8"/>
      <c r="R456" s="8"/>
    </row>
    <row r="457" spans="1:18">
      <c r="A457" s="4">
        <v>100397</v>
      </c>
      <c r="B457" s="1">
        <v>45329</v>
      </c>
      <c r="C457" s="1">
        <v>45298</v>
      </c>
      <c r="D457" t="s">
        <v>336</v>
      </c>
      <c r="E457" t="s">
        <v>132</v>
      </c>
      <c r="F457">
        <v>3</v>
      </c>
      <c r="G457">
        <v>270</v>
      </c>
      <c r="H457">
        <v>5</v>
      </c>
      <c r="I457" t="s">
        <v>32</v>
      </c>
      <c r="J457" t="s">
        <v>26</v>
      </c>
      <c r="K457" s="6">
        <f t="shared" si="28"/>
        <v>810</v>
      </c>
      <c r="L457" s="6">
        <f t="shared" si="29"/>
        <v>-3240</v>
      </c>
      <c r="M457" s="6">
        <f>_xlfn.XLOOKUP(E457, Products!A:A, Products!E:E)</f>
        <v>138</v>
      </c>
      <c r="N457" s="6">
        <f t="shared" si="30"/>
        <v>414</v>
      </c>
      <c r="O457" s="8">
        <f t="shared" si="31"/>
        <v>-3654</v>
      </c>
      <c r="Q457" s="8"/>
      <c r="R457" s="8"/>
    </row>
    <row r="458" spans="1:18">
      <c r="A458" s="4">
        <v>100325</v>
      </c>
      <c r="B458" s="1">
        <v>45328</v>
      </c>
      <c r="C458" s="1">
        <v>45294</v>
      </c>
      <c r="D458" t="s">
        <v>182</v>
      </c>
      <c r="E458" t="s">
        <v>61</v>
      </c>
      <c r="F458">
        <v>3</v>
      </c>
      <c r="G458">
        <v>1973</v>
      </c>
      <c r="H458">
        <v>5</v>
      </c>
      <c r="I458" t="s">
        <v>19</v>
      </c>
      <c r="J458" t="s">
        <v>13</v>
      </c>
      <c r="K458" s="6">
        <f t="shared" si="28"/>
        <v>5919</v>
      </c>
      <c r="L458" s="6">
        <f t="shared" si="29"/>
        <v>-23676</v>
      </c>
      <c r="M458" s="6">
        <f>_xlfn.XLOOKUP(E458, Products!A:A, Products!E:E)</f>
        <v>65</v>
      </c>
      <c r="N458" s="6">
        <f t="shared" si="30"/>
        <v>195</v>
      </c>
      <c r="O458" s="8">
        <f t="shared" si="31"/>
        <v>-23871</v>
      </c>
      <c r="Q458" s="8"/>
      <c r="R458" s="8"/>
    </row>
    <row r="459" spans="1:18">
      <c r="A459" s="4">
        <v>100324</v>
      </c>
      <c r="B459" s="1">
        <v>45328</v>
      </c>
      <c r="C459" s="1">
        <v>45297</v>
      </c>
      <c r="D459" t="s">
        <v>283</v>
      </c>
      <c r="E459" t="s">
        <v>242</v>
      </c>
      <c r="F459">
        <v>3</v>
      </c>
      <c r="G459">
        <v>1996</v>
      </c>
      <c r="H459">
        <v>0</v>
      </c>
      <c r="I459" t="s">
        <v>29</v>
      </c>
      <c r="J459" t="s">
        <v>26</v>
      </c>
      <c r="K459" s="6">
        <f t="shared" si="28"/>
        <v>5988</v>
      </c>
      <c r="L459" s="6">
        <f t="shared" si="29"/>
        <v>5988</v>
      </c>
      <c r="M459" s="6">
        <f>_xlfn.XLOOKUP(E459, Products!A:A, Products!E:E)</f>
        <v>140</v>
      </c>
      <c r="N459" s="6">
        <f t="shared" si="30"/>
        <v>420</v>
      </c>
      <c r="O459" s="8">
        <f t="shared" si="31"/>
        <v>5568</v>
      </c>
      <c r="Q459" s="8"/>
      <c r="R459" s="8"/>
    </row>
    <row r="460" spans="1:18">
      <c r="A460" s="4">
        <v>100280</v>
      </c>
      <c r="B460" s="1">
        <v>45325</v>
      </c>
      <c r="C460" s="1">
        <v>45296</v>
      </c>
      <c r="D460" t="s">
        <v>290</v>
      </c>
      <c r="E460" t="s">
        <v>145</v>
      </c>
      <c r="F460">
        <v>3</v>
      </c>
      <c r="G460">
        <v>1367</v>
      </c>
      <c r="H460">
        <v>0</v>
      </c>
      <c r="I460" t="s">
        <v>29</v>
      </c>
      <c r="J460" t="s">
        <v>16</v>
      </c>
      <c r="K460" s="6">
        <f t="shared" si="28"/>
        <v>4101</v>
      </c>
      <c r="L460" s="6">
        <f t="shared" si="29"/>
        <v>4101</v>
      </c>
      <c r="M460" s="6">
        <f>_xlfn.XLOOKUP(E460, Products!A:A, Products!E:E)</f>
        <v>247</v>
      </c>
      <c r="N460" s="6">
        <f t="shared" si="30"/>
        <v>741</v>
      </c>
      <c r="O460" s="8">
        <f t="shared" si="31"/>
        <v>3360</v>
      </c>
      <c r="Q460" s="8"/>
      <c r="R460" s="8"/>
    </row>
    <row r="461" spans="1:18">
      <c r="A461" s="4">
        <v>100112</v>
      </c>
      <c r="B461" s="1">
        <v>45322</v>
      </c>
      <c r="C461" s="1">
        <v>45298</v>
      </c>
      <c r="D461" t="s">
        <v>179</v>
      </c>
      <c r="E461" t="s">
        <v>180</v>
      </c>
      <c r="F461">
        <v>3</v>
      </c>
      <c r="G461">
        <v>1160</v>
      </c>
      <c r="H461">
        <v>10</v>
      </c>
      <c r="I461" t="s">
        <v>32</v>
      </c>
      <c r="J461" t="s">
        <v>16</v>
      </c>
      <c r="K461" s="6">
        <f t="shared" si="28"/>
        <v>3480</v>
      </c>
      <c r="L461" s="6">
        <f t="shared" si="29"/>
        <v>-31320</v>
      </c>
      <c r="M461" s="6">
        <f>_xlfn.XLOOKUP(E461, Products!A:A, Products!E:E)</f>
        <v>81</v>
      </c>
      <c r="N461" s="6">
        <f t="shared" si="30"/>
        <v>243</v>
      </c>
      <c r="O461" s="8">
        <f t="shared" si="31"/>
        <v>-31563</v>
      </c>
      <c r="Q461" s="8"/>
      <c r="R461" s="8"/>
    </row>
    <row r="462" spans="1:18">
      <c r="A462" s="4">
        <v>100542</v>
      </c>
      <c r="B462" s="1">
        <v>45322</v>
      </c>
      <c r="C462" s="1">
        <v>45297</v>
      </c>
      <c r="D462" t="s">
        <v>198</v>
      </c>
      <c r="E462" t="s">
        <v>21</v>
      </c>
      <c r="F462">
        <v>3</v>
      </c>
      <c r="G462">
        <v>1882</v>
      </c>
      <c r="H462">
        <v>15</v>
      </c>
      <c r="I462" t="s">
        <v>29</v>
      </c>
      <c r="J462" t="s">
        <v>13</v>
      </c>
      <c r="K462" s="6">
        <f t="shared" si="28"/>
        <v>5646</v>
      </c>
      <c r="L462" s="6">
        <f t="shared" si="29"/>
        <v>-79044</v>
      </c>
      <c r="M462" s="6">
        <f>_xlfn.XLOOKUP(E462, Products!A:A, Products!E:E)</f>
        <v>279</v>
      </c>
      <c r="N462" s="6">
        <f t="shared" si="30"/>
        <v>837</v>
      </c>
      <c r="O462" s="8">
        <f t="shared" si="31"/>
        <v>-79881</v>
      </c>
      <c r="Q462" s="8"/>
      <c r="R462" s="8"/>
    </row>
    <row r="463" spans="1:18">
      <c r="A463" s="4">
        <v>100039</v>
      </c>
      <c r="B463" s="1">
        <v>45321</v>
      </c>
      <c r="C463" s="1">
        <v>45295</v>
      </c>
      <c r="D463" t="s">
        <v>84</v>
      </c>
      <c r="E463" t="s">
        <v>85</v>
      </c>
      <c r="F463">
        <v>3</v>
      </c>
      <c r="G463">
        <v>806</v>
      </c>
      <c r="H463">
        <v>5</v>
      </c>
      <c r="I463" t="s">
        <v>12</v>
      </c>
      <c r="J463" t="s">
        <v>26</v>
      </c>
      <c r="K463" s="6">
        <f t="shared" si="28"/>
        <v>2418</v>
      </c>
      <c r="L463" s="6">
        <f t="shared" si="29"/>
        <v>-9672</v>
      </c>
      <c r="M463" s="6">
        <f>_xlfn.XLOOKUP(E463, Products!A:A, Products!E:E)</f>
        <v>148</v>
      </c>
      <c r="N463" s="6">
        <f t="shared" si="30"/>
        <v>444</v>
      </c>
      <c r="O463" s="8">
        <f t="shared" si="31"/>
        <v>-10116</v>
      </c>
      <c r="Q463" s="8"/>
      <c r="R463" s="8"/>
    </row>
    <row r="464" spans="1:18">
      <c r="A464" s="4">
        <v>100603</v>
      </c>
      <c r="B464" s="1">
        <v>45319</v>
      </c>
      <c r="C464" s="1">
        <v>45302</v>
      </c>
      <c r="D464" t="s">
        <v>372</v>
      </c>
      <c r="E464" t="s">
        <v>183</v>
      </c>
      <c r="F464">
        <v>3</v>
      </c>
      <c r="G464">
        <v>212</v>
      </c>
      <c r="H464">
        <v>5</v>
      </c>
      <c r="I464" t="s">
        <v>19</v>
      </c>
      <c r="J464" t="s">
        <v>16</v>
      </c>
      <c r="K464" s="6">
        <f t="shared" si="28"/>
        <v>636</v>
      </c>
      <c r="L464" s="6">
        <f t="shared" si="29"/>
        <v>-2544</v>
      </c>
      <c r="M464" s="6">
        <f>_xlfn.XLOOKUP(E464, Products!A:A, Products!E:E)</f>
        <v>55</v>
      </c>
      <c r="N464" s="6">
        <f t="shared" si="30"/>
        <v>165</v>
      </c>
      <c r="O464" s="8">
        <f t="shared" si="31"/>
        <v>-2709</v>
      </c>
      <c r="Q464" s="8"/>
      <c r="R464" s="8"/>
    </row>
    <row r="465" spans="1:18">
      <c r="A465" s="4">
        <v>100716</v>
      </c>
      <c r="B465" s="1">
        <v>45319</v>
      </c>
      <c r="C465" s="1">
        <v>45300</v>
      </c>
      <c r="D465" t="s">
        <v>160</v>
      </c>
      <c r="E465" t="s">
        <v>108</v>
      </c>
      <c r="F465">
        <v>3</v>
      </c>
      <c r="G465">
        <v>1078</v>
      </c>
      <c r="H465">
        <v>10</v>
      </c>
      <c r="I465" t="s">
        <v>29</v>
      </c>
      <c r="J465" t="s">
        <v>26</v>
      </c>
      <c r="K465" s="6">
        <f t="shared" si="28"/>
        <v>3234</v>
      </c>
      <c r="L465" s="6">
        <f t="shared" si="29"/>
        <v>-29106</v>
      </c>
      <c r="M465" s="6">
        <f>_xlfn.XLOOKUP(E465, Products!A:A, Products!E:E)</f>
        <v>237</v>
      </c>
      <c r="N465" s="6">
        <f t="shared" si="30"/>
        <v>711</v>
      </c>
      <c r="O465" s="8">
        <f t="shared" si="31"/>
        <v>-29817</v>
      </c>
      <c r="Q465" s="8"/>
      <c r="R465" s="8"/>
    </row>
    <row r="466" spans="1:18">
      <c r="A466" s="4">
        <v>100450</v>
      </c>
      <c r="B466" s="1">
        <v>45317</v>
      </c>
      <c r="C466" s="1">
        <v>45302</v>
      </c>
      <c r="D466" t="s">
        <v>312</v>
      </c>
      <c r="E466" t="s">
        <v>50</v>
      </c>
      <c r="F466">
        <v>3</v>
      </c>
      <c r="G466">
        <v>868</v>
      </c>
      <c r="H466">
        <v>0</v>
      </c>
      <c r="I466" t="s">
        <v>12</v>
      </c>
      <c r="J466" t="s">
        <v>16</v>
      </c>
      <c r="K466" s="6">
        <f t="shared" si="28"/>
        <v>2604</v>
      </c>
      <c r="L466" s="6">
        <f t="shared" si="29"/>
        <v>2604</v>
      </c>
      <c r="M466" s="6">
        <f>_xlfn.XLOOKUP(E466, Products!A:A, Products!E:E)</f>
        <v>218</v>
      </c>
      <c r="N466" s="6">
        <f t="shared" si="30"/>
        <v>654</v>
      </c>
      <c r="O466" s="8">
        <f t="shared" si="31"/>
        <v>1950</v>
      </c>
      <c r="Q466" s="8"/>
      <c r="R466" s="8"/>
    </row>
    <row r="467" spans="1:18">
      <c r="A467" s="4">
        <v>100698</v>
      </c>
      <c r="B467" s="1">
        <v>45315</v>
      </c>
      <c r="C467" s="1">
        <v>45297</v>
      </c>
      <c r="D467" t="s">
        <v>284</v>
      </c>
      <c r="E467" t="s">
        <v>80</v>
      </c>
      <c r="F467">
        <v>3</v>
      </c>
      <c r="G467">
        <v>1419</v>
      </c>
      <c r="H467">
        <v>15</v>
      </c>
      <c r="I467" t="s">
        <v>12</v>
      </c>
      <c r="J467" t="s">
        <v>26</v>
      </c>
      <c r="K467" s="6">
        <f t="shared" si="28"/>
        <v>4257</v>
      </c>
      <c r="L467" s="6">
        <f t="shared" si="29"/>
        <v>-59598</v>
      </c>
      <c r="M467" s="6">
        <f>_xlfn.XLOOKUP(E467, Products!A:A, Products!E:E)</f>
        <v>71</v>
      </c>
      <c r="N467" s="6">
        <f t="shared" si="30"/>
        <v>213</v>
      </c>
      <c r="O467" s="8">
        <f t="shared" si="31"/>
        <v>-59811</v>
      </c>
      <c r="Q467" s="8"/>
      <c r="R467" s="8"/>
    </row>
    <row r="468" spans="1:18">
      <c r="A468" s="4">
        <v>100025</v>
      </c>
      <c r="B468" s="1">
        <v>45312</v>
      </c>
      <c r="C468" s="1">
        <v>45295</v>
      </c>
      <c r="D468" t="s">
        <v>60</v>
      </c>
      <c r="E468" t="s">
        <v>61</v>
      </c>
      <c r="F468">
        <v>3</v>
      </c>
      <c r="G468">
        <v>704</v>
      </c>
      <c r="H468">
        <v>5</v>
      </c>
      <c r="I468" t="s">
        <v>29</v>
      </c>
      <c r="J468" t="s">
        <v>22</v>
      </c>
      <c r="K468" s="6">
        <f t="shared" si="28"/>
        <v>2112</v>
      </c>
      <c r="L468" s="6">
        <f t="shared" si="29"/>
        <v>-8448</v>
      </c>
      <c r="M468" s="6">
        <f>_xlfn.XLOOKUP(E468, Products!A:A, Products!E:E)</f>
        <v>65</v>
      </c>
      <c r="N468" s="6">
        <f t="shared" si="30"/>
        <v>195</v>
      </c>
      <c r="O468" s="8">
        <f t="shared" si="31"/>
        <v>-8643</v>
      </c>
      <c r="Q468" s="8"/>
      <c r="R468" s="8"/>
    </row>
    <row r="469" spans="1:18">
      <c r="A469" s="4">
        <v>100169</v>
      </c>
      <c r="B469" s="1">
        <v>45312</v>
      </c>
      <c r="C469" s="1">
        <v>45294</v>
      </c>
      <c r="D469" t="s">
        <v>192</v>
      </c>
      <c r="E469" t="s">
        <v>126</v>
      </c>
      <c r="F469">
        <v>3</v>
      </c>
      <c r="G469">
        <v>1461</v>
      </c>
      <c r="H469">
        <v>15</v>
      </c>
      <c r="I469" t="s">
        <v>32</v>
      </c>
      <c r="J469" t="s">
        <v>26</v>
      </c>
      <c r="K469" s="6">
        <f t="shared" si="28"/>
        <v>4383</v>
      </c>
      <c r="L469" s="6">
        <f t="shared" si="29"/>
        <v>-61362</v>
      </c>
      <c r="M469" s="6">
        <f>_xlfn.XLOOKUP(E469, Products!A:A, Products!E:E)</f>
        <v>177</v>
      </c>
      <c r="N469" s="6">
        <f t="shared" si="30"/>
        <v>531</v>
      </c>
      <c r="O469" s="8">
        <f t="shared" si="31"/>
        <v>-61893</v>
      </c>
      <c r="Q469" s="8"/>
      <c r="R469" s="8"/>
    </row>
    <row r="470" spans="1:18">
      <c r="A470" s="4">
        <v>100966</v>
      </c>
      <c r="B470" s="1">
        <v>45311</v>
      </c>
      <c r="C470" s="1">
        <v>45300</v>
      </c>
      <c r="D470" t="s">
        <v>295</v>
      </c>
      <c r="E470" t="s">
        <v>212</v>
      </c>
      <c r="F470">
        <v>3</v>
      </c>
      <c r="G470">
        <v>1259</v>
      </c>
      <c r="H470">
        <v>15</v>
      </c>
      <c r="I470" t="s">
        <v>12</v>
      </c>
      <c r="J470" t="s">
        <v>13</v>
      </c>
      <c r="K470" s="6">
        <f t="shared" si="28"/>
        <v>3777</v>
      </c>
      <c r="L470" s="6">
        <f t="shared" si="29"/>
        <v>-52878</v>
      </c>
      <c r="M470" s="6">
        <f>_xlfn.XLOOKUP(E470, Products!A:A, Products!E:E)</f>
        <v>196</v>
      </c>
      <c r="N470" s="6">
        <f t="shared" si="30"/>
        <v>588</v>
      </c>
      <c r="O470" s="8">
        <f t="shared" si="31"/>
        <v>-53466</v>
      </c>
      <c r="Q470" s="8"/>
      <c r="R470" s="8"/>
    </row>
    <row r="471" spans="1:18">
      <c r="A471" s="4">
        <v>100480</v>
      </c>
      <c r="B471" s="1">
        <v>45310</v>
      </c>
      <c r="C471" s="1">
        <v>45295</v>
      </c>
      <c r="D471" t="s">
        <v>119</v>
      </c>
      <c r="E471" t="s">
        <v>120</v>
      </c>
      <c r="F471">
        <v>3</v>
      </c>
      <c r="G471">
        <v>1194</v>
      </c>
      <c r="H471">
        <v>0</v>
      </c>
      <c r="I471" t="s">
        <v>19</v>
      </c>
      <c r="J471" t="s">
        <v>13</v>
      </c>
      <c r="K471" s="6">
        <f t="shared" si="28"/>
        <v>3582</v>
      </c>
      <c r="L471" s="6">
        <f t="shared" si="29"/>
        <v>3582</v>
      </c>
      <c r="M471" s="6">
        <f>_xlfn.XLOOKUP(E471, Products!A:A, Products!E:E)</f>
        <v>52</v>
      </c>
      <c r="N471" s="6">
        <f t="shared" si="30"/>
        <v>156</v>
      </c>
      <c r="O471" s="8">
        <f t="shared" si="31"/>
        <v>3426</v>
      </c>
      <c r="Q471" s="8"/>
      <c r="R471" s="8"/>
    </row>
    <row r="472" spans="1:18">
      <c r="A472" s="4">
        <v>100594</v>
      </c>
      <c r="B472" s="1">
        <v>45309</v>
      </c>
      <c r="C472" s="1">
        <v>45296</v>
      </c>
      <c r="D472" t="s">
        <v>161</v>
      </c>
      <c r="E472" t="s">
        <v>87</v>
      </c>
      <c r="F472">
        <v>3</v>
      </c>
      <c r="G472">
        <v>679</v>
      </c>
      <c r="H472">
        <v>0</v>
      </c>
      <c r="I472" t="s">
        <v>19</v>
      </c>
      <c r="J472" t="s">
        <v>22</v>
      </c>
      <c r="K472" s="6">
        <f t="shared" si="28"/>
        <v>2037</v>
      </c>
      <c r="L472" s="6">
        <f t="shared" si="29"/>
        <v>2037</v>
      </c>
      <c r="M472" s="6">
        <f>_xlfn.XLOOKUP(E472, Products!A:A, Products!E:E)</f>
        <v>269</v>
      </c>
      <c r="N472" s="6">
        <f t="shared" si="30"/>
        <v>807</v>
      </c>
      <c r="O472" s="8">
        <f t="shared" si="31"/>
        <v>1230</v>
      </c>
      <c r="Q472" s="8"/>
      <c r="R472" s="8"/>
    </row>
    <row r="473" spans="1:18">
      <c r="A473" s="4">
        <v>100729</v>
      </c>
      <c r="B473" s="1">
        <v>45309</v>
      </c>
      <c r="C473" s="1">
        <v>45298</v>
      </c>
      <c r="D473" t="s">
        <v>388</v>
      </c>
      <c r="E473" t="s">
        <v>91</v>
      </c>
      <c r="F473">
        <v>3</v>
      </c>
      <c r="G473">
        <v>1918</v>
      </c>
      <c r="H473">
        <v>5</v>
      </c>
      <c r="I473" t="s">
        <v>19</v>
      </c>
      <c r="J473" t="s">
        <v>26</v>
      </c>
      <c r="K473" s="6">
        <f t="shared" si="28"/>
        <v>5754</v>
      </c>
      <c r="L473" s="6">
        <f t="shared" si="29"/>
        <v>-23016</v>
      </c>
      <c r="M473" s="6">
        <f>_xlfn.XLOOKUP(E473, Products!A:A, Products!E:E)</f>
        <v>243</v>
      </c>
      <c r="N473" s="6">
        <f t="shared" si="30"/>
        <v>729</v>
      </c>
      <c r="O473" s="8">
        <f t="shared" si="31"/>
        <v>-23745</v>
      </c>
      <c r="Q473" s="8"/>
      <c r="R473" s="8"/>
    </row>
    <row r="474" spans="1:18">
      <c r="A474" s="4">
        <v>100383</v>
      </c>
      <c r="B474" s="1">
        <v>45307</v>
      </c>
      <c r="C474" s="1">
        <v>45298</v>
      </c>
      <c r="D474" t="s">
        <v>148</v>
      </c>
      <c r="E474" t="s">
        <v>31</v>
      </c>
      <c r="F474">
        <v>3</v>
      </c>
      <c r="G474">
        <v>1848</v>
      </c>
      <c r="H474">
        <v>5</v>
      </c>
      <c r="I474" t="s">
        <v>29</v>
      </c>
      <c r="J474" t="s">
        <v>13</v>
      </c>
      <c r="K474" s="6">
        <f t="shared" si="28"/>
        <v>5544</v>
      </c>
      <c r="L474" s="6">
        <f t="shared" si="29"/>
        <v>-22176</v>
      </c>
      <c r="M474" s="6">
        <f>_xlfn.XLOOKUP(E474, Products!A:A, Products!E:E)</f>
        <v>187</v>
      </c>
      <c r="N474" s="6">
        <f t="shared" si="30"/>
        <v>561</v>
      </c>
      <c r="O474" s="8">
        <f t="shared" si="31"/>
        <v>-22737</v>
      </c>
      <c r="Q474" s="8"/>
      <c r="R474" s="8"/>
    </row>
    <row r="475" spans="1:18">
      <c r="A475" s="4">
        <v>100296</v>
      </c>
      <c r="B475" s="1">
        <v>45306</v>
      </c>
      <c r="C475" s="1">
        <v>45300</v>
      </c>
      <c r="D475" t="s">
        <v>287</v>
      </c>
      <c r="E475" t="s">
        <v>247</v>
      </c>
      <c r="F475">
        <v>3</v>
      </c>
      <c r="G475">
        <v>1251</v>
      </c>
      <c r="H475">
        <v>15</v>
      </c>
      <c r="I475" t="s">
        <v>32</v>
      </c>
      <c r="J475" t="s">
        <v>16</v>
      </c>
      <c r="K475" s="6">
        <f t="shared" si="28"/>
        <v>3753</v>
      </c>
      <c r="L475" s="6">
        <f t="shared" si="29"/>
        <v>-52542</v>
      </c>
      <c r="M475" s="6">
        <f>_xlfn.XLOOKUP(E475, Products!A:A, Products!E:E)</f>
        <v>70</v>
      </c>
      <c r="N475" s="6">
        <f t="shared" si="30"/>
        <v>210</v>
      </c>
      <c r="O475" s="8">
        <f t="shared" si="31"/>
        <v>-52752</v>
      </c>
      <c r="Q475" s="8"/>
      <c r="R475" s="8"/>
    </row>
    <row r="476" spans="1:18">
      <c r="A476" s="4">
        <v>100838</v>
      </c>
      <c r="B476" s="1">
        <v>45305</v>
      </c>
      <c r="C476" s="1">
        <v>45296</v>
      </c>
      <c r="D476" t="s">
        <v>402</v>
      </c>
      <c r="E476" t="s">
        <v>165</v>
      </c>
      <c r="F476">
        <v>3</v>
      </c>
      <c r="G476">
        <v>1499</v>
      </c>
      <c r="H476">
        <v>0</v>
      </c>
      <c r="I476" t="s">
        <v>29</v>
      </c>
      <c r="J476" t="s">
        <v>16</v>
      </c>
      <c r="K476" s="6">
        <f t="shared" si="28"/>
        <v>4497</v>
      </c>
      <c r="L476" s="6">
        <f t="shared" si="29"/>
        <v>4497</v>
      </c>
      <c r="M476" s="6">
        <f>_xlfn.XLOOKUP(E476, Products!A:A, Products!E:E)</f>
        <v>241</v>
      </c>
      <c r="N476" s="6">
        <f t="shared" si="30"/>
        <v>723</v>
      </c>
      <c r="O476" s="8">
        <f t="shared" si="31"/>
        <v>3774</v>
      </c>
      <c r="Q476" s="8"/>
      <c r="R476" s="8"/>
    </row>
    <row r="477" spans="1:18">
      <c r="A477" s="4">
        <v>100588</v>
      </c>
      <c r="B477" s="1">
        <v>45304</v>
      </c>
      <c r="C477" s="1">
        <v>45297</v>
      </c>
      <c r="D477" t="s">
        <v>330</v>
      </c>
      <c r="E477" t="s">
        <v>103</v>
      </c>
      <c r="F477">
        <v>3</v>
      </c>
      <c r="G477">
        <v>556</v>
      </c>
      <c r="H477">
        <v>0</v>
      </c>
      <c r="I477" t="s">
        <v>12</v>
      </c>
      <c r="J477" t="s">
        <v>16</v>
      </c>
      <c r="K477" s="6">
        <f t="shared" si="28"/>
        <v>1668</v>
      </c>
      <c r="L477" s="6">
        <f t="shared" si="29"/>
        <v>1668</v>
      </c>
      <c r="M477" s="6">
        <f>_xlfn.XLOOKUP(E477, Products!A:A, Products!E:E)</f>
        <v>185</v>
      </c>
      <c r="N477" s="6">
        <f t="shared" si="30"/>
        <v>555</v>
      </c>
      <c r="O477" s="8">
        <f t="shared" si="31"/>
        <v>1113</v>
      </c>
      <c r="Q477" s="8"/>
      <c r="R477" s="8"/>
    </row>
    <row r="478" spans="1:18">
      <c r="A478" s="4">
        <v>100932</v>
      </c>
      <c r="B478" s="1">
        <v>45302</v>
      </c>
      <c r="C478" s="1">
        <v>45295</v>
      </c>
      <c r="D478" t="s">
        <v>405</v>
      </c>
      <c r="E478" t="s">
        <v>93</v>
      </c>
      <c r="F478">
        <v>3</v>
      </c>
      <c r="G478">
        <v>1832</v>
      </c>
      <c r="H478">
        <v>15</v>
      </c>
      <c r="I478" t="s">
        <v>29</v>
      </c>
      <c r="J478" t="s">
        <v>22</v>
      </c>
      <c r="K478" s="6">
        <f t="shared" si="28"/>
        <v>5496</v>
      </c>
      <c r="L478" s="6">
        <f t="shared" si="29"/>
        <v>-76944</v>
      </c>
      <c r="M478" s="6">
        <f>_xlfn.XLOOKUP(E478, Products!A:A, Products!E:E)</f>
        <v>222</v>
      </c>
      <c r="N478" s="6">
        <f t="shared" si="30"/>
        <v>666</v>
      </c>
      <c r="O478" s="8">
        <f t="shared" si="31"/>
        <v>-77610</v>
      </c>
      <c r="Q478" s="8"/>
      <c r="R478" s="8"/>
    </row>
    <row r="479" spans="1:18">
      <c r="A479" s="4">
        <v>100137</v>
      </c>
      <c r="B479" s="1">
        <v>45295</v>
      </c>
      <c r="C479" s="1">
        <v>45301</v>
      </c>
      <c r="D479" t="s">
        <v>203</v>
      </c>
      <c r="E479" t="s">
        <v>204</v>
      </c>
      <c r="F479">
        <v>3</v>
      </c>
      <c r="G479">
        <v>1469</v>
      </c>
      <c r="H479">
        <v>10</v>
      </c>
      <c r="I479" t="s">
        <v>29</v>
      </c>
      <c r="J479" t="s">
        <v>13</v>
      </c>
      <c r="K479" s="6">
        <f t="shared" si="28"/>
        <v>4407</v>
      </c>
      <c r="L479" s="6">
        <f t="shared" si="29"/>
        <v>-39663</v>
      </c>
      <c r="M479" s="6">
        <f>_xlfn.XLOOKUP(E479, Products!A:A, Products!E:E)</f>
        <v>229</v>
      </c>
      <c r="N479" s="6">
        <f t="shared" si="30"/>
        <v>687</v>
      </c>
      <c r="O479" s="8">
        <f t="shared" si="31"/>
        <v>-40350</v>
      </c>
      <c r="Q479" s="8"/>
      <c r="R479" s="8"/>
    </row>
    <row r="480" spans="1:18">
      <c r="A480" s="4">
        <v>100867</v>
      </c>
      <c r="B480" s="1">
        <v>45294</v>
      </c>
      <c r="C480" s="1">
        <v>45297</v>
      </c>
      <c r="D480" t="s">
        <v>135</v>
      </c>
      <c r="E480" t="s">
        <v>80</v>
      </c>
      <c r="F480">
        <v>3</v>
      </c>
      <c r="G480">
        <v>454</v>
      </c>
      <c r="H480">
        <v>15</v>
      </c>
      <c r="I480" t="s">
        <v>29</v>
      </c>
      <c r="J480" t="s">
        <v>26</v>
      </c>
      <c r="K480" s="6">
        <f t="shared" si="28"/>
        <v>1362</v>
      </c>
      <c r="L480" s="6">
        <f t="shared" si="29"/>
        <v>-19068</v>
      </c>
      <c r="M480" s="6">
        <f>_xlfn.XLOOKUP(E480, Products!A:A, Products!E:E)</f>
        <v>71</v>
      </c>
      <c r="N480" s="6">
        <f t="shared" si="30"/>
        <v>213</v>
      </c>
      <c r="O480" s="8">
        <f t="shared" si="31"/>
        <v>-19281</v>
      </c>
      <c r="Q480" s="8"/>
      <c r="R480" s="8"/>
    </row>
    <row r="481" spans="1:18">
      <c r="A481" s="4">
        <v>100910</v>
      </c>
      <c r="B481" s="1">
        <v>45293</v>
      </c>
      <c r="C481" s="1">
        <v>45301</v>
      </c>
      <c r="D481" t="s">
        <v>146</v>
      </c>
      <c r="E481" t="s">
        <v>48</v>
      </c>
      <c r="F481">
        <v>3</v>
      </c>
      <c r="G481">
        <v>572</v>
      </c>
      <c r="H481">
        <v>0</v>
      </c>
      <c r="I481" t="s">
        <v>32</v>
      </c>
      <c r="J481" t="s">
        <v>16</v>
      </c>
      <c r="K481" s="6">
        <f t="shared" si="28"/>
        <v>1716</v>
      </c>
      <c r="L481" s="6">
        <f t="shared" si="29"/>
        <v>1716</v>
      </c>
      <c r="M481" s="6">
        <f>_xlfn.XLOOKUP(E481, Products!A:A, Products!E:E)</f>
        <v>179</v>
      </c>
      <c r="N481" s="6">
        <f t="shared" si="30"/>
        <v>537</v>
      </c>
      <c r="O481" s="8">
        <f t="shared" si="31"/>
        <v>1179</v>
      </c>
      <c r="Q481" s="8"/>
      <c r="R481" s="8"/>
    </row>
    <row r="482" spans="1:18">
      <c r="A482" s="4">
        <v>100948</v>
      </c>
      <c r="B482" s="1">
        <v>45292</v>
      </c>
      <c r="C482" s="1">
        <v>45299</v>
      </c>
      <c r="D482" t="s">
        <v>378</v>
      </c>
      <c r="E482" t="s">
        <v>165</v>
      </c>
      <c r="F482">
        <v>3</v>
      </c>
      <c r="G482">
        <v>889</v>
      </c>
      <c r="H482">
        <v>10</v>
      </c>
      <c r="I482" t="s">
        <v>19</v>
      </c>
      <c r="J482" t="s">
        <v>26</v>
      </c>
      <c r="K482" s="6">
        <f t="shared" si="28"/>
        <v>2667</v>
      </c>
      <c r="L482" s="6">
        <f t="shared" si="29"/>
        <v>-24003</v>
      </c>
      <c r="M482" s="6">
        <f>_xlfn.XLOOKUP(E482, Products!A:A, Products!E:E)</f>
        <v>241</v>
      </c>
      <c r="N482" s="6">
        <f t="shared" si="30"/>
        <v>723</v>
      </c>
      <c r="O482" s="8">
        <f t="shared" si="31"/>
        <v>-24726</v>
      </c>
      <c r="Q482" s="8"/>
      <c r="R482" s="8"/>
    </row>
    <row r="483" spans="1:18">
      <c r="A483" s="4">
        <v>100531</v>
      </c>
      <c r="B483" s="1">
        <v>45292</v>
      </c>
      <c r="C483" s="1">
        <v>45296</v>
      </c>
      <c r="D483" t="s">
        <v>100</v>
      </c>
      <c r="E483" t="s">
        <v>167</v>
      </c>
      <c r="F483">
        <v>3</v>
      </c>
      <c r="G483">
        <v>374</v>
      </c>
      <c r="H483">
        <v>10</v>
      </c>
      <c r="I483" t="s">
        <v>29</v>
      </c>
      <c r="J483" t="s">
        <v>16</v>
      </c>
      <c r="K483" s="6">
        <f t="shared" si="28"/>
        <v>1122</v>
      </c>
      <c r="L483" s="6">
        <f t="shared" si="29"/>
        <v>-10098</v>
      </c>
      <c r="M483" s="6">
        <f>_xlfn.XLOOKUP(E483, Products!A:A, Products!E:E)</f>
        <v>181</v>
      </c>
      <c r="N483" s="6">
        <f t="shared" si="30"/>
        <v>543</v>
      </c>
      <c r="O483" s="8">
        <f t="shared" si="31"/>
        <v>-10641</v>
      </c>
      <c r="Q483" s="8"/>
      <c r="R483" s="8"/>
    </row>
    <row r="484" spans="1:18">
      <c r="A484" s="4">
        <v>100775</v>
      </c>
      <c r="B484" s="1">
        <v>45655</v>
      </c>
      <c r="C484" s="1">
        <v>45300</v>
      </c>
      <c r="D484" t="s">
        <v>295</v>
      </c>
      <c r="E484" t="s">
        <v>73</v>
      </c>
      <c r="F484">
        <v>2</v>
      </c>
      <c r="G484">
        <v>861</v>
      </c>
      <c r="H484">
        <v>10</v>
      </c>
      <c r="I484" t="s">
        <v>12</v>
      </c>
      <c r="J484" t="s">
        <v>22</v>
      </c>
      <c r="K484" s="6">
        <f t="shared" si="28"/>
        <v>1722</v>
      </c>
      <c r="L484" s="6">
        <f t="shared" si="29"/>
        <v>-15498</v>
      </c>
      <c r="M484" s="6">
        <f>_xlfn.XLOOKUP(E484, Products!A:A, Products!E:E)</f>
        <v>243</v>
      </c>
      <c r="N484" s="6">
        <f t="shared" si="30"/>
        <v>486</v>
      </c>
      <c r="O484" s="8">
        <f t="shared" si="31"/>
        <v>-15984</v>
      </c>
      <c r="Q484" s="8"/>
      <c r="R484" s="8"/>
    </row>
    <row r="485" spans="1:18">
      <c r="A485" s="4">
        <v>100829</v>
      </c>
      <c r="B485" s="1">
        <v>45652</v>
      </c>
      <c r="C485" s="1">
        <v>45296</v>
      </c>
      <c r="D485" t="s">
        <v>369</v>
      </c>
      <c r="E485" t="s">
        <v>181</v>
      </c>
      <c r="F485">
        <v>2</v>
      </c>
      <c r="G485">
        <v>1128</v>
      </c>
      <c r="H485">
        <v>5</v>
      </c>
      <c r="I485" t="s">
        <v>29</v>
      </c>
      <c r="J485" t="s">
        <v>16</v>
      </c>
      <c r="K485" s="6">
        <f t="shared" si="28"/>
        <v>2256</v>
      </c>
      <c r="L485" s="6">
        <f t="shared" si="29"/>
        <v>-9024</v>
      </c>
      <c r="M485" s="6">
        <f>_xlfn.XLOOKUP(E485, Products!A:A, Products!E:E)</f>
        <v>72</v>
      </c>
      <c r="N485" s="6">
        <f t="shared" si="30"/>
        <v>144</v>
      </c>
      <c r="O485" s="8">
        <f t="shared" si="31"/>
        <v>-9168</v>
      </c>
      <c r="Q485" s="8"/>
      <c r="R485" s="8"/>
    </row>
    <row r="486" spans="1:18">
      <c r="A486" s="4">
        <v>100068</v>
      </c>
      <c r="B486" s="1">
        <v>45652</v>
      </c>
      <c r="C486" s="1">
        <v>45302</v>
      </c>
      <c r="D486" t="s">
        <v>128</v>
      </c>
      <c r="E486" t="s">
        <v>129</v>
      </c>
      <c r="F486">
        <v>2</v>
      </c>
      <c r="G486">
        <v>1927</v>
      </c>
      <c r="H486">
        <v>5</v>
      </c>
      <c r="I486" t="s">
        <v>29</v>
      </c>
      <c r="J486" t="s">
        <v>13</v>
      </c>
      <c r="K486" s="6">
        <f t="shared" si="28"/>
        <v>3854</v>
      </c>
      <c r="L486" s="6">
        <f t="shared" si="29"/>
        <v>-15416</v>
      </c>
      <c r="M486" s="6">
        <f>_xlfn.XLOOKUP(E486, Products!A:A, Products!E:E)</f>
        <v>171</v>
      </c>
      <c r="N486" s="6">
        <f t="shared" si="30"/>
        <v>342</v>
      </c>
      <c r="O486" s="8">
        <f t="shared" si="31"/>
        <v>-15758</v>
      </c>
      <c r="Q486" s="8"/>
      <c r="R486" s="8"/>
    </row>
    <row r="487" spans="1:18">
      <c r="A487" s="4">
        <v>100681</v>
      </c>
      <c r="B487" s="1">
        <v>45650</v>
      </c>
      <c r="C487" s="1">
        <v>45295</v>
      </c>
      <c r="D487" t="s">
        <v>368</v>
      </c>
      <c r="E487" t="s">
        <v>247</v>
      </c>
      <c r="F487">
        <v>2</v>
      </c>
      <c r="G487">
        <v>1690</v>
      </c>
      <c r="H487">
        <v>10</v>
      </c>
      <c r="I487" t="s">
        <v>19</v>
      </c>
      <c r="J487" t="s">
        <v>22</v>
      </c>
      <c r="K487" s="6">
        <f t="shared" si="28"/>
        <v>3380</v>
      </c>
      <c r="L487" s="6">
        <f t="shared" si="29"/>
        <v>-30420</v>
      </c>
      <c r="M487" s="6">
        <f>_xlfn.XLOOKUP(E487, Products!A:A, Products!E:E)</f>
        <v>70</v>
      </c>
      <c r="N487" s="6">
        <f t="shared" si="30"/>
        <v>140</v>
      </c>
      <c r="O487" s="8">
        <f t="shared" si="31"/>
        <v>-30560</v>
      </c>
      <c r="Q487" s="8"/>
      <c r="R487" s="8"/>
    </row>
    <row r="488" spans="1:18">
      <c r="A488" s="4">
        <v>100633</v>
      </c>
      <c r="B488" s="1">
        <v>45650</v>
      </c>
      <c r="C488" s="1">
        <v>45297</v>
      </c>
      <c r="D488" t="s">
        <v>168</v>
      </c>
      <c r="E488" t="s">
        <v>176</v>
      </c>
      <c r="F488">
        <v>2</v>
      </c>
      <c r="G488">
        <v>900</v>
      </c>
      <c r="H488">
        <v>0</v>
      </c>
      <c r="I488" t="s">
        <v>29</v>
      </c>
      <c r="J488" t="s">
        <v>22</v>
      </c>
      <c r="K488" s="6">
        <f t="shared" si="28"/>
        <v>1800</v>
      </c>
      <c r="L488" s="6">
        <f t="shared" si="29"/>
        <v>1800</v>
      </c>
      <c r="M488" s="6">
        <f>_xlfn.XLOOKUP(E488, Products!A:A, Products!E:E)</f>
        <v>61</v>
      </c>
      <c r="N488" s="6">
        <f t="shared" si="30"/>
        <v>122</v>
      </c>
      <c r="O488" s="8">
        <f t="shared" si="31"/>
        <v>1678</v>
      </c>
      <c r="Q488" s="8"/>
      <c r="R488" s="8"/>
    </row>
    <row r="489" spans="1:18">
      <c r="A489" s="4">
        <v>100629</v>
      </c>
      <c r="B489" s="1">
        <v>45647</v>
      </c>
      <c r="C489" s="1">
        <v>45297</v>
      </c>
      <c r="D489" t="s">
        <v>235</v>
      </c>
      <c r="E489" t="s">
        <v>75</v>
      </c>
      <c r="F489">
        <v>2</v>
      </c>
      <c r="G489">
        <v>1007</v>
      </c>
      <c r="H489">
        <v>10</v>
      </c>
      <c r="I489" t="s">
        <v>32</v>
      </c>
      <c r="J489" t="s">
        <v>26</v>
      </c>
      <c r="K489" s="6">
        <f t="shared" si="28"/>
        <v>2014</v>
      </c>
      <c r="L489" s="6">
        <f t="shared" si="29"/>
        <v>-18126</v>
      </c>
      <c r="M489" s="6">
        <f>_xlfn.XLOOKUP(E489, Products!A:A, Products!E:E)</f>
        <v>70</v>
      </c>
      <c r="N489" s="6">
        <f t="shared" si="30"/>
        <v>140</v>
      </c>
      <c r="O489" s="8">
        <f t="shared" si="31"/>
        <v>-18266</v>
      </c>
      <c r="Q489" s="8"/>
      <c r="R489" s="8"/>
    </row>
    <row r="490" spans="1:18">
      <c r="A490" s="4">
        <v>100658</v>
      </c>
      <c r="B490" s="1">
        <v>45645</v>
      </c>
      <c r="C490" s="1">
        <v>45298</v>
      </c>
      <c r="D490" t="s">
        <v>287</v>
      </c>
      <c r="E490" t="s">
        <v>207</v>
      </c>
      <c r="F490">
        <v>2</v>
      </c>
      <c r="G490">
        <v>1590</v>
      </c>
      <c r="H490">
        <v>15</v>
      </c>
      <c r="I490" t="s">
        <v>29</v>
      </c>
      <c r="J490" t="s">
        <v>13</v>
      </c>
      <c r="K490" s="6">
        <f t="shared" si="28"/>
        <v>3180</v>
      </c>
      <c r="L490" s="6">
        <f t="shared" si="29"/>
        <v>-44520</v>
      </c>
      <c r="M490" s="6">
        <f>_xlfn.XLOOKUP(E490, Products!A:A, Products!E:E)</f>
        <v>147</v>
      </c>
      <c r="N490" s="6">
        <f t="shared" si="30"/>
        <v>294</v>
      </c>
      <c r="O490" s="8">
        <f t="shared" si="31"/>
        <v>-44814</v>
      </c>
      <c r="Q490" s="8"/>
      <c r="R490" s="8"/>
    </row>
    <row r="491" spans="1:18">
      <c r="A491" s="4">
        <v>100540</v>
      </c>
      <c r="B491" s="1">
        <v>45644</v>
      </c>
      <c r="C491" s="1">
        <v>45299</v>
      </c>
      <c r="D491" t="s">
        <v>215</v>
      </c>
      <c r="E491" t="s">
        <v>367</v>
      </c>
      <c r="F491">
        <v>2</v>
      </c>
      <c r="G491">
        <v>1252</v>
      </c>
      <c r="H491">
        <v>5</v>
      </c>
      <c r="I491" t="s">
        <v>29</v>
      </c>
      <c r="J491" t="s">
        <v>16</v>
      </c>
      <c r="K491" s="6">
        <f t="shared" si="28"/>
        <v>2504</v>
      </c>
      <c r="L491" s="6">
        <f t="shared" si="29"/>
        <v>-10016</v>
      </c>
      <c r="M491" s="6">
        <f>_xlfn.XLOOKUP(E491, Products!A:A, Products!E:E)</f>
        <v>158</v>
      </c>
      <c r="N491" s="6">
        <f t="shared" si="30"/>
        <v>316</v>
      </c>
      <c r="O491" s="8">
        <f t="shared" si="31"/>
        <v>-10332</v>
      </c>
      <c r="Q491" s="8"/>
      <c r="R491" s="8"/>
    </row>
    <row r="492" spans="1:18">
      <c r="A492" s="4">
        <v>100832</v>
      </c>
      <c r="B492" s="1">
        <v>45644</v>
      </c>
      <c r="C492" s="1">
        <v>45298</v>
      </c>
      <c r="D492" t="s">
        <v>220</v>
      </c>
      <c r="E492" t="s">
        <v>48</v>
      </c>
      <c r="F492">
        <v>2</v>
      </c>
      <c r="G492">
        <v>364</v>
      </c>
      <c r="H492">
        <v>5</v>
      </c>
      <c r="I492" t="s">
        <v>19</v>
      </c>
      <c r="J492" t="s">
        <v>16</v>
      </c>
      <c r="K492" s="6">
        <f t="shared" si="28"/>
        <v>728</v>
      </c>
      <c r="L492" s="6">
        <f t="shared" si="29"/>
        <v>-2912</v>
      </c>
      <c r="M492" s="6">
        <f>_xlfn.XLOOKUP(E492, Products!A:A, Products!E:E)</f>
        <v>179</v>
      </c>
      <c r="N492" s="6">
        <f t="shared" si="30"/>
        <v>358</v>
      </c>
      <c r="O492" s="8">
        <f t="shared" si="31"/>
        <v>-3270</v>
      </c>
      <c r="Q492" s="8"/>
      <c r="R492" s="8"/>
    </row>
    <row r="493" spans="1:18">
      <c r="A493" s="4">
        <v>100586</v>
      </c>
      <c r="B493" s="1">
        <v>45643</v>
      </c>
      <c r="C493" s="1">
        <v>45298</v>
      </c>
      <c r="D493" t="s">
        <v>193</v>
      </c>
      <c r="E493" t="s">
        <v>265</v>
      </c>
      <c r="F493">
        <v>2</v>
      </c>
      <c r="G493">
        <v>533</v>
      </c>
      <c r="H493">
        <v>15</v>
      </c>
      <c r="I493" t="s">
        <v>19</v>
      </c>
      <c r="J493" t="s">
        <v>13</v>
      </c>
      <c r="K493" s="6">
        <f t="shared" si="28"/>
        <v>1066</v>
      </c>
      <c r="L493" s="6">
        <f t="shared" si="29"/>
        <v>-14924</v>
      </c>
      <c r="M493" s="6">
        <f>_xlfn.XLOOKUP(E493, Products!A:A, Products!E:E)</f>
        <v>218</v>
      </c>
      <c r="N493" s="6">
        <f t="shared" si="30"/>
        <v>436</v>
      </c>
      <c r="O493" s="8">
        <f t="shared" si="31"/>
        <v>-15360</v>
      </c>
      <c r="Q493" s="8"/>
      <c r="R493" s="8"/>
    </row>
    <row r="494" spans="1:18">
      <c r="A494" s="4">
        <v>100855</v>
      </c>
      <c r="B494" s="1">
        <v>45639</v>
      </c>
      <c r="C494" s="1">
        <v>45302</v>
      </c>
      <c r="D494" t="s">
        <v>261</v>
      </c>
      <c r="E494" t="s">
        <v>89</v>
      </c>
      <c r="F494">
        <v>2</v>
      </c>
      <c r="G494">
        <v>652</v>
      </c>
      <c r="H494">
        <v>5</v>
      </c>
      <c r="I494" t="s">
        <v>29</v>
      </c>
      <c r="J494" t="s">
        <v>13</v>
      </c>
      <c r="K494" s="6">
        <f t="shared" si="28"/>
        <v>1304</v>
      </c>
      <c r="L494" s="6">
        <f t="shared" si="29"/>
        <v>-5216</v>
      </c>
      <c r="M494" s="6">
        <f>_xlfn.XLOOKUP(E494, Products!A:A, Products!E:E)</f>
        <v>184</v>
      </c>
      <c r="N494" s="6">
        <f t="shared" si="30"/>
        <v>368</v>
      </c>
      <c r="O494" s="8">
        <f t="shared" si="31"/>
        <v>-5584</v>
      </c>
      <c r="Q494" s="8"/>
      <c r="R494" s="8"/>
    </row>
    <row r="495" spans="1:18">
      <c r="A495" s="4">
        <v>100686</v>
      </c>
      <c r="B495" s="1">
        <v>45639</v>
      </c>
      <c r="C495" s="1">
        <v>45296</v>
      </c>
      <c r="D495" t="s">
        <v>390</v>
      </c>
      <c r="E495" t="s">
        <v>59</v>
      </c>
      <c r="F495">
        <v>2</v>
      </c>
      <c r="G495">
        <v>520</v>
      </c>
      <c r="H495">
        <v>15</v>
      </c>
      <c r="I495" t="s">
        <v>32</v>
      </c>
      <c r="J495" t="s">
        <v>13</v>
      </c>
      <c r="K495" s="6">
        <f t="shared" si="28"/>
        <v>1040</v>
      </c>
      <c r="L495" s="6">
        <f t="shared" si="29"/>
        <v>-14560</v>
      </c>
      <c r="M495" s="6">
        <f>_xlfn.XLOOKUP(E495, Products!A:A, Products!E:E)</f>
        <v>116</v>
      </c>
      <c r="N495" s="6">
        <f t="shared" si="30"/>
        <v>232</v>
      </c>
      <c r="O495" s="8">
        <f t="shared" si="31"/>
        <v>-14792</v>
      </c>
      <c r="Q495" s="8"/>
      <c r="R495" s="8"/>
    </row>
    <row r="496" spans="1:18">
      <c r="A496" s="4">
        <v>100030</v>
      </c>
      <c r="B496" s="1">
        <v>45637</v>
      </c>
      <c r="C496" s="1">
        <v>45298</v>
      </c>
      <c r="D496" t="s">
        <v>67</v>
      </c>
      <c r="E496" t="s">
        <v>69</v>
      </c>
      <c r="F496">
        <v>2</v>
      </c>
      <c r="G496">
        <v>656</v>
      </c>
      <c r="H496">
        <v>15</v>
      </c>
      <c r="I496" t="s">
        <v>32</v>
      </c>
      <c r="J496" t="s">
        <v>13</v>
      </c>
      <c r="K496" s="6">
        <f t="shared" si="28"/>
        <v>1312</v>
      </c>
      <c r="L496" s="6">
        <f t="shared" si="29"/>
        <v>-18368</v>
      </c>
      <c r="M496" s="6">
        <f>_xlfn.XLOOKUP(E496, Products!A:A, Products!E:E)</f>
        <v>82</v>
      </c>
      <c r="N496" s="6">
        <f t="shared" si="30"/>
        <v>164</v>
      </c>
      <c r="O496" s="8">
        <f t="shared" si="31"/>
        <v>-18532</v>
      </c>
      <c r="Q496" s="8"/>
      <c r="R496" s="8"/>
    </row>
    <row r="497" spans="1:18">
      <c r="A497" s="4">
        <v>100960</v>
      </c>
      <c r="B497" s="1">
        <v>45636</v>
      </c>
      <c r="C497" s="1">
        <v>45300</v>
      </c>
      <c r="D497" t="s">
        <v>394</v>
      </c>
      <c r="E497" t="s">
        <v>34</v>
      </c>
      <c r="F497">
        <v>2</v>
      </c>
      <c r="G497">
        <v>254</v>
      </c>
      <c r="H497">
        <v>15</v>
      </c>
      <c r="I497" t="s">
        <v>29</v>
      </c>
      <c r="J497" t="s">
        <v>22</v>
      </c>
      <c r="K497" s="6">
        <f t="shared" si="28"/>
        <v>508</v>
      </c>
      <c r="L497" s="6">
        <f t="shared" si="29"/>
        <v>-7112</v>
      </c>
      <c r="M497" s="6">
        <f>_xlfn.XLOOKUP(E497, Products!A:A, Products!E:E)</f>
        <v>187</v>
      </c>
      <c r="N497" s="6">
        <f t="shared" si="30"/>
        <v>374</v>
      </c>
      <c r="O497" s="8">
        <f t="shared" si="31"/>
        <v>-7486</v>
      </c>
      <c r="Q497" s="8"/>
      <c r="R497" s="8"/>
    </row>
    <row r="498" spans="1:18">
      <c r="A498" s="4">
        <v>100872</v>
      </c>
      <c r="B498" s="1">
        <v>45633</v>
      </c>
      <c r="C498" s="1">
        <v>45296</v>
      </c>
      <c r="D498" t="s">
        <v>205</v>
      </c>
      <c r="E498" t="s">
        <v>85</v>
      </c>
      <c r="F498">
        <v>2</v>
      </c>
      <c r="G498">
        <v>964</v>
      </c>
      <c r="H498">
        <v>15</v>
      </c>
      <c r="I498" t="s">
        <v>32</v>
      </c>
      <c r="J498" t="s">
        <v>26</v>
      </c>
      <c r="K498" s="6">
        <f t="shared" si="28"/>
        <v>1928</v>
      </c>
      <c r="L498" s="6">
        <f t="shared" si="29"/>
        <v>-26992</v>
      </c>
      <c r="M498" s="6">
        <f>_xlfn.XLOOKUP(E498, Products!A:A, Products!E:E)</f>
        <v>148</v>
      </c>
      <c r="N498" s="6">
        <f t="shared" si="30"/>
        <v>296</v>
      </c>
      <c r="O498" s="8">
        <f t="shared" si="31"/>
        <v>-27288</v>
      </c>
      <c r="Q498" s="8"/>
      <c r="R498" s="8"/>
    </row>
    <row r="499" spans="1:18">
      <c r="A499" s="4">
        <v>100403</v>
      </c>
      <c r="B499" s="1">
        <v>45632</v>
      </c>
      <c r="C499" s="1">
        <v>45301</v>
      </c>
      <c r="D499" t="s">
        <v>196</v>
      </c>
      <c r="E499" t="s">
        <v>206</v>
      </c>
      <c r="F499">
        <v>2</v>
      </c>
      <c r="G499">
        <v>1033</v>
      </c>
      <c r="H499">
        <v>0</v>
      </c>
      <c r="I499" t="s">
        <v>12</v>
      </c>
      <c r="J499" t="s">
        <v>16</v>
      </c>
      <c r="K499" s="6">
        <f t="shared" si="28"/>
        <v>2066</v>
      </c>
      <c r="L499" s="6">
        <f t="shared" si="29"/>
        <v>2066</v>
      </c>
      <c r="M499" s="6">
        <f>_xlfn.XLOOKUP(E499, Products!A:A, Products!E:E)</f>
        <v>50</v>
      </c>
      <c r="N499" s="6">
        <f t="shared" si="30"/>
        <v>100</v>
      </c>
      <c r="O499" s="8">
        <f t="shared" si="31"/>
        <v>1966</v>
      </c>
      <c r="Q499" s="8"/>
      <c r="R499" s="8"/>
    </row>
    <row r="500" spans="1:18">
      <c r="A500" s="4">
        <v>100393</v>
      </c>
      <c r="B500" s="1">
        <v>45632</v>
      </c>
      <c r="C500" s="1">
        <v>45298</v>
      </c>
      <c r="D500" t="s">
        <v>333</v>
      </c>
      <c r="E500" t="s">
        <v>334</v>
      </c>
      <c r="F500">
        <v>2</v>
      </c>
      <c r="G500">
        <v>1021</v>
      </c>
      <c r="H500">
        <v>0</v>
      </c>
      <c r="I500" t="s">
        <v>12</v>
      </c>
      <c r="J500" t="s">
        <v>26</v>
      </c>
      <c r="K500" s="6">
        <f t="shared" si="28"/>
        <v>2042</v>
      </c>
      <c r="L500" s="6">
        <f t="shared" si="29"/>
        <v>2042</v>
      </c>
      <c r="M500" s="6">
        <f>_xlfn.XLOOKUP(E500, Products!A:A, Products!E:E)</f>
        <v>93</v>
      </c>
      <c r="N500" s="6">
        <f t="shared" si="30"/>
        <v>186</v>
      </c>
      <c r="O500" s="8">
        <f t="shared" si="31"/>
        <v>1856</v>
      </c>
      <c r="Q500" s="8"/>
      <c r="R500" s="8"/>
    </row>
    <row r="501" spans="1:18">
      <c r="A501" s="4">
        <v>100784</v>
      </c>
      <c r="B501" s="1">
        <v>45631</v>
      </c>
      <c r="C501" s="1">
        <v>45302</v>
      </c>
      <c r="D501" t="s">
        <v>200</v>
      </c>
      <c r="E501" t="s">
        <v>120</v>
      </c>
      <c r="F501">
        <v>2</v>
      </c>
      <c r="G501">
        <v>421</v>
      </c>
      <c r="H501">
        <v>10</v>
      </c>
      <c r="I501" t="s">
        <v>19</v>
      </c>
      <c r="J501" t="s">
        <v>26</v>
      </c>
      <c r="K501" s="6">
        <f t="shared" si="28"/>
        <v>842</v>
      </c>
      <c r="L501" s="6">
        <f t="shared" si="29"/>
        <v>-7578</v>
      </c>
      <c r="M501" s="6">
        <f>_xlfn.XLOOKUP(E501, Products!A:A, Products!E:E)</f>
        <v>52</v>
      </c>
      <c r="N501" s="6">
        <f t="shared" si="30"/>
        <v>104</v>
      </c>
      <c r="O501" s="8">
        <f t="shared" si="31"/>
        <v>-7682</v>
      </c>
      <c r="Q501" s="8"/>
      <c r="R501" s="8"/>
    </row>
    <row r="502" spans="1:18">
      <c r="A502" s="4">
        <v>100197</v>
      </c>
      <c r="B502" s="1">
        <v>45631</v>
      </c>
      <c r="C502" s="1">
        <v>45300</v>
      </c>
      <c r="D502" t="s">
        <v>243</v>
      </c>
      <c r="E502" t="s">
        <v>112</v>
      </c>
      <c r="F502">
        <v>2</v>
      </c>
      <c r="G502">
        <v>1662</v>
      </c>
      <c r="H502">
        <v>0</v>
      </c>
      <c r="I502" t="s">
        <v>19</v>
      </c>
      <c r="J502" t="s">
        <v>16</v>
      </c>
      <c r="K502" s="6">
        <f t="shared" si="28"/>
        <v>3324</v>
      </c>
      <c r="L502" s="6">
        <f t="shared" si="29"/>
        <v>3324</v>
      </c>
      <c r="M502" s="6">
        <f>_xlfn.XLOOKUP(E502, Products!A:A, Products!E:E)</f>
        <v>72</v>
      </c>
      <c r="N502" s="6">
        <f t="shared" si="30"/>
        <v>144</v>
      </c>
      <c r="O502" s="8">
        <f t="shared" si="31"/>
        <v>3180</v>
      </c>
      <c r="Q502" s="8"/>
      <c r="R502" s="8"/>
    </row>
    <row r="503" spans="1:18">
      <c r="A503" s="4">
        <v>100923</v>
      </c>
      <c r="B503" s="1">
        <v>45627</v>
      </c>
      <c r="C503" s="1">
        <v>45295</v>
      </c>
      <c r="D503" t="s">
        <v>14</v>
      </c>
      <c r="E503" t="s">
        <v>165</v>
      </c>
      <c r="F503">
        <v>2</v>
      </c>
      <c r="G503">
        <v>279</v>
      </c>
      <c r="H503">
        <v>5</v>
      </c>
      <c r="I503" t="s">
        <v>19</v>
      </c>
      <c r="J503" t="s">
        <v>13</v>
      </c>
      <c r="K503" s="6">
        <f t="shared" si="28"/>
        <v>558</v>
      </c>
      <c r="L503" s="6">
        <f t="shared" si="29"/>
        <v>-2232</v>
      </c>
      <c r="M503" s="6">
        <f>_xlfn.XLOOKUP(E503, Products!A:A, Products!E:E)</f>
        <v>241</v>
      </c>
      <c r="N503" s="6">
        <f t="shared" si="30"/>
        <v>482</v>
      </c>
      <c r="O503" s="8">
        <f t="shared" si="31"/>
        <v>-2714</v>
      </c>
      <c r="Q503" s="8"/>
      <c r="R503" s="8"/>
    </row>
    <row r="504" spans="1:18">
      <c r="A504" s="4">
        <v>100908</v>
      </c>
      <c r="B504" s="1">
        <v>45621</v>
      </c>
      <c r="C504" s="1">
        <v>45295</v>
      </c>
      <c r="D504" t="s">
        <v>42</v>
      </c>
      <c r="E504" t="s">
        <v>132</v>
      </c>
      <c r="F504">
        <v>2</v>
      </c>
      <c r="G504">
        <v>1030</v>
      </c>
      <c r="H504">
        <v>10</v>
      </c>
      <c r="I504" t="s">
        <v>12</v>
      </c>
      <c r="J504" t="s">
        <v>16</v>
      </c>
      <c r="K504" s="6">
        <f t="shared" si="28"/>
        <v>2060</v>
      </c>
      <c r="L504" s="6">
        <f t="shared" si="29"/>
        <v>-18540</v>
      </c>
      <c r="M504" s="6">
        <f>_xlfn.XLOOKUP(E504, Products!A:A, Products!E:E)</f>
        <v>138</v>
      </c>
      <c r="N504" s="6">
        <f t="shared" si="30"/>
        <v>276</v>
      </c>
      <c r="O504" s="8">
        <f t="shared" si="31"/>
        <v>-18816</v>
      </c>
      <c r="Q504" s="8"/>
      <c r="R504" s="8"/>
    </row>
    <row r="505" spans="1:18">
      <c r="A505" s="4">
        <v>100095</v>
      </c>
      <c r="B505" s="1">
        <v>45620</v>
      </c>
      <c r="C505" s="1">
        <v>45301</v>
      </c>
      <c r="D505" t="s">
        <v>160</v>
      </c>
      <c r="E505" t="s">
        <v>55</v>
      </c>
      <c r="F505">
        <v>2</v>
      </c>
      <c r="G505">
        <v>1388</v>
      </c>
      <c r="H505">
        <v>5</v>
      </c>
      <c r="I505" t="s">
        <v>19</v>
      </c>
      <c r="J505" t="s">
        <v>26</v>
      </c>
      <c r="K505" s="6">
        <f t="shared" si="28"/>
        <v>2776</v>
      </c>
      <c r="L505" s="6">
        <f t="shared" si="29"/>
        <v>-11104</v>
      </c>
      <c r="M505" s="6">
        <f>_xlfn.XLOOKUP(E505, Products!A:A, Products!E:E)</f>
        <v>141</v>
      </c>
      <c r="N505" s="6">
        <f t="shared" si="30"/>
        <v>282</v>
      </c>
      <c r="O505" s="8">
        <f t="shared" si="31"/>
        <v>-11386</v>
      </c>
      <c r="Q505" s="8"/>
      <c r="R505" s="8"/>
    </row>
    <row r="506" spans="1:18">
      <c r="A506" s="4">
        <v>100760</v>
      </c>
      <c r="B506" s="1">
        <v>45613</v>
      </c>
      <c r="C506" s="1">
        <v>45298</v>
      </c>
      <c r="D506" t="s">
        <v>90</v>
      </c>
      <c r="E506" t="s">
        <v>195</v>
      </c>
      <c r="F506">
        <v>2</v>
      </c>
      <c r="G506">
        <v>627</v>
      </c>
      <c r="H506">
        <v>5</v>
      </c>
      <c r="I506" t="s">
        <v>32</v>
      </c>
      <c r="J506" t="s">
        <v>13</v>
      </c>
      <c r="K506" s="6">
        <f t="shared" si="28"/>
        <v>1254</v>
      </c>
      <c r="L506" s="6">
        <f t="shared" si="29"/>
        <v>-5016</v>
      </c>
      <c r="M506" s="6">
        <f>_xlfn.XLOOKUP(E506, Products!A:A, Products!E:E)</f>
        <v>261</v>
      </c>
      <c r="N506" s="6">
        <f t="shared" si="30"/>
        <v>522</v>
      </c>
      <c r="O506" s="8">
        <f t="shared" si="31"/>
        <v>-5538</v>
      </c>
      <c r="Q506" s="8"/>
      <c r="R506" s="8"/>
    </row>
    <row r="507" spans="1:18">
      <c r="A507" s="4">
        <v>100495</v>
      </c>
      <c r="B507" s="1">
        <v>45613</v>
      </c>
      <c r="C507" s="1">
        <v>45300</v>
      </c>
      <c r="D507" t="s">
        <v>322</v>
      </c>
      <c r="E507" t="s">
        <v>139</v>
      </c>
      <c r="F507">
        <v>2</v>
      </c>
      <c r="G507">
        <v>1014</v>
      </c>
      <c r="H507">
        <v>5</v>
      </c>
      <c r="I507" t="s">
        <v>32</v>
      </c>
      <c r="J507" t="s">
        <v>26</v>
      </c>
      <c r="K507" s="6">
        <f t="shared" si="28"/>
        <v>2028</v>
      </c>
      <c r="L507" s="6">
        <f t="shared" si="29"/>
        <v>-8112</v>
      </c>
      <c r="M507" s="6">
        <f>_xlfn.XLOOKUP(E507, Products!A:A, Products!E:E)</f>
        <v>280</v>
      </c>
      <c r="N507" s="6">
        <f t="shared" si="30"/>
        <v>560</v>
      </c>
      <c r="O507" s="8">
        <f t="shared" si="31"/>
        <v>-8672</v>
      </c>
      <c r="Q507" s="8"/>
      <c r="R507" s="8"/>
    </row>
    <row r="508" spans="1:18">
      <c r="A508" s="4">
        <v>100237</v>
      </c>
      <c r="B508" s="1">
        <v>45612</v>
      </c>
      <c r="C508" s="1">
        <v>45301</v>
      </c>
      <c r="D508" t="s">
        <v>216</v>
      </c>
      <c r="E508" t="s">
        <v>24</v>
      </c>
      <c r="F508">
        <v>2</v>
      </c>
      <c r="G508">
        <v>1833</v>
      </c>
      <c r="H508">
        <v>5</v>
      </c>
      <c r="I508" t="s">
        <v>12</v>
      </c>
      <c r="J508" t="s">
        <v>26</v>
      </c>
      <c r="K508" s="6">
        <f t="shared" si="28"/>
        <v>3666</v>
      </c>
      <c r="L508" s="6">
        <f t="shared" si="29"/>
        <v>-14664</v>
      </c>
      <c r="M508" s="6">
        <f>_xlfn.XLOOKUP(E508, Products!A:A, Products!E:E)</f>
        <v>105</v>
      </c>
      <c r="N508" s="6">
        <f t="shared" si="30"/>
        <v>210</v>
      </c>
      <c r="O508" s="8">
        <f t="shared" si="31"/>
        <v>-14874</v>
      </c>
      <c r="Q508" s="8"/>
      <c r="R508" s="8"/>
    </row>
    <row r="509" spans="1:18">
      <c r="A509" s="4">
        <v>100474</v>
      </c>
      <c r="B509" s="1">
        <v>45612</v>
      </c>
      <c r="C509" s="1">
        <v>45296</v>
      </c>
      <c r="D509" t="s">
        <v>240</v>
      </c>
      <c r="E509" t="s">
        <v>61</v>
      </c>
      <c r="F509">
        <v>2</v>
      </c>
      <c r="G509">
        <v>1416</v>
      </c>
      <c r="H509">
        <v>5</v>
      </c>
      <c r="I509" t="s">
        <v>32</v>
      </c>
      <c r="J509" t="s">
        <v>22</v>
      </c>
      <c r="K509" s="6">
        <f t="shared" si="28"/>
        <v>2832</v>
      </c>
      <c r="L509" s="6">
        <f t="shared" si="29"/>
        <v>-11328</v>
      </c>
      <c r="M509" s="6">
        <f>_xlfn.XLOOKUP(E509, Products!A:A, Products!E:E)</f>
        <v>65</v>
      </c>
      <c r="N509" s="6">
        <f t="shared" si="30"/>
        <v>130</v>
      </c>
      <c r="O509" s="8">
        <f t="shared" si="31"/>
        <v>-11458</v>
      </c>
      <c r="Q509" s="8"/>
      <c r="R509" s="8"/>
    </row>
    <row r="510" spans="1:18">
      <c r="A510" s="4">
        <v>100122</v>
      </c>
      <c r="B510" s="1">
        <v>45610</v>
      </c>
      <c r="C510" s="1">
        <v>45302</v>
      </c>
      <c r="D510" t="s">
        <v>189</v>
      </c>
      <c r="E510" t="s">
        <v>190</v>
      </c>
      <c r="F510">
        <v>2</v>
      </c>
      <c r="G510">
        <v>1193</v>
      </c>
      <c r="H510">
        <v>10</v>
      </c>
      <c r="I510" t="s">
        <v>29</v>
      </c>
      <c r="J510" t="s">
        <v>16</v>
      </c>
      <c r="K510" s="6">
        <f t="shared" si="28"/>
        <v>2386</v>
      </c>
      <c r="L510" s="6">
        <f t="shared" si="29"/>
        <v>-21474</v>
      </c>
      <c r="M510" s="6">
        <f>_xlfn.XLOOKUP(E510, Products!A:A, Products!E:E)</f>
        <v>273</v>
      </c>
      <c r="N510" s="6">
        <f t="shared" si="30"/>
        <v>546</v>
      </c>
      <c r="O510" s="8">
        <f t="shared" si="31"/>
        <v>-22020</v>
      </c>
      <c r="Q510" s="8"/>
      <c r="R510" s="8"/>
    </row>
    <row r="511" spans="1:18">
      <c r="A511" s="4">
        <v>100283</v>
      </c>
      <c r="B511" s="1">
        <v>45610</v>
      </c>
      <c r="C511" s="1">
        <v>45299</v>
      </c>
      <c r="D511" t="s">
        <v>275</v>
      </c>
      <c r="E511" t="s">
        <v>89</v>
      </c>
      <c r="F511">
        <v>2</v>
      </c>
      <c r="G511">
        <v>1176</v>
      </c>
      <c r="H511">
        <v>10</v>
      </c>
      <c r="I511" t="s">
        <v>32</v>
      </c>
      <c r="J511" t="s">
        <v>16</v>
      </c>
      <c r="K511" s="6">
        <f t="shared" si="28"/>
        <v>2352</v>
      </c>
      <c r="L511" s="6">
        <f t="shared" si="29"/>
        <v>-21168</v>
      </c>
      <c r="M511" s="6">
        <f>_xlfn.XLOOKUP(E511, Products!A:A, Products!E:E)</f>
        <v>184</v>
      </c>
      <c r="N511" s="6">
        <f t="shared" si="30"/>
        <v>368</v>
      </c>
      <c r="O511" s="8">
        <f t="shared" si="31"/>
        <v>-21536</v>
      </c>
      <c r="Q511" s="8"/>
      <c r="R511" s="8"/>
    </row>
    <row r="512" spans="1:18">
      <c r="A512" s="4">
        <v>100210</v>
      </c>
      <c r="B512" s="1">
        <v>45608</v>
      </c>
      <c r="C512" s="1">
        <v>45300</v>
      </c>
      <c r="D512" t="s">
        <v>100</v>
      </c>
      <c r="E512" t="s">
        <v>73</v>
      </c>
      <c r="F512">
        <v>2</v>
      </c>
      <c r="G512">
        <v>1225</v>
      </c>
      <c r="H512">
        <v>0</v>
      </c>
      <c r="I512" t="s">
        <v>32</v>
      </c>
      <c r="J512" t="s">
        <v>16</v>
      </c>
      <c r="K512" s="6">
        <f t="shared" si="28"/>
        <v>2450</v>
      </c>
      <c r="L512" s="6">
        <f t="shared" si="29"/>
        <v>2450</v>
      </c>
      <c r="M512" s="6">
        <f>_xlfn.XLOOKUP(E512, Products!A:A, Products!E:E)</f>
        <v>243</v>
      </c>
      <c r="N512" s="6">
        <f t="shared" si="30"/>
        <v>486</v>
      </c>
      <c r="O512" s="8">
        <f t="shared" si="31"/>
        <v>1964</v>
      </c>
      <c r="Q512" s="8"/>
      <c r="R512" s="8"/>
    </row>
    <row r="513" spans="1:18">
      <c r="A513" s="4">
        <v>100790</v>
      </c>
      <c r="B513" s="1">
        <v>45608</v>
      </c>
      <c r="C513" s="1">
        <v>45300</v>
      </c>
      <c r="D513" t="s">
        <v>321</v>
      </c>
      <c r="E513" t="s">
        <v>39</v>
      </c>
      <c r="F513">
        <v>2</v>
      </c>
      <c r="G513">
        <v>356</v>
      </c>
      <c r="H513">
        <v>10</v>
      </c>
      <c r="I513" t="s">
        <v>32</v>
      </c>
      <c r="J513" t="s">
        <v>26</v>
      </c>
      <c r="K513" s="6">
        <f t="shared" si="28"/>
        <v>712</v>
      </c>
      <c r="L513" s="6">
        <f t="shared" si="29"/>
        <v>-6408</v>
      </c>
      <c r="M513" s="6">
        <f>_xlfn.XLOOKUP(E513, Products!A:A, Products!E:E)</f>
        <v>238</v>
      </c>
      <c r="N513" s="6">
        <f t="shared" si="30"/>
        <v>476</v>
      </c>
      <c r="O513" s="8">
        <f t="shared" si="31"/>
        <v>-6884</v>
      </c>
      <c r="Q513" s="8"/>
      <c r="R513" s="8"/>
    </row>
    <row r="514" spans="1:18">
      <c r="A514" s="4">
        <v>100706</v>
      </c>
      <c r="B514" s="1">
        <v>45608</v>
      </c>
      <c r="C514" s="1">
        <v>45297</v>
      </c>
      <c r="D514" t="s">
        <v>203</v>
      </c>
      <c r="E514" t="s">
        <v>281</v>
      </c>
      <c r="F514">
        <v>2</v>
      </c>
      <c r="G514">
        <v>369</v>
      </c>
      <c r="H514">
        <v>5</v>
      </c>
      <c r="I514" t="s">
        <v>32</v>
      </c>
      <c r="J514" t="s">
        <v>16</v>
      </c>
      <c r="K514" s="6">
        <f t="shared" ref="K514:K577" si="32">F514*G514</f>
        <v>738</v>
      </c>
      <c r="L514" s="6">
        <f t="shared" si="29"/>
        <v>-2952</v>
      </c>
      <c r="M514" s="6">
        <f>_xlfn.XLOOKUP(E514, Products!A:A, Products!E:E)</f>
        <v>117</v>
      </c>
      <c r="N514" s="6">
        <f t="shared" si="30"/>
        <v>234</v>
      </c>
      <c r="O514" s="8">
        <f t="shared" si="31"/>
        <v>-3186</v>
      </c>
      <c r="Q514" s="8"/>
      <c r="R514" s="8"/>
    </row>
    <row r="515" spans="1:18">
      <c r="A515" s="4">
        <v>100268</v>
      </c>
      <c r="B515" s="1">
        <v>45607</v>
      </c>
      <c r="C515" s="1">
        <v>45297</v>
      </c>
      <c r="D515" t="s">
        <v>282</v>
      </c>
      <c r="E515" t="s">
        <v>75</v>
      </c>
      <c r="F515">
        <v>2</v>
      </c>
      <c r="G515">
        <v>862</v>
      </c>
      <c r="H515">
        <v>0</v>
      </c>
      <c r="I515" t="s">
        <v>12</v>
      </c>
      <c r="J515" t="s">
        <v>26</v>
      </c>
      <c r="K515" s="6">
        <f t="shared" si="32"/>
        <v>1724</v>
      </c>
      <c r="L515" s="6">
        <f t="shared" ref="L515:L578" si="33">F515*G515*(1-H515)</f>
        <v>1724</v>
      </c>
      <c r="M515" s="6">
        <f>_xlfn.XLOOKUP(E515, Products!A:A, Products!E:E)</f>
        <v>70</v>
      </c>
      <c r="N515" s="6">
        <f t="shared" ref="N515:N578" si="34">F515*M515</f>
        <v>140</v>
      </c>
      <c r="O515" s="8">
        <f t="shared" ref="O515:O578" si="35">L515-N515</f>
        <v>1584</v>
      </c>
      <c r="Q515" s="8"/>
      <c r="R515" s="8"/>
    </row>
    <row r="516" spans="1:18">
      <c r="A516" s="4">
        <v>100138</v>
      </c>
      <c r="B516" s="1">
        <v>45605</v>
      </c>
      <c r="C516" s="1">
        <v>45294</v>
      </c>
      <c r="D516" t="s">
        <v>166</v>
      </c>
      <c r="E516" t="s">
        <v>115</v>
      </c>
      <c r="F516">
        <v>2</v>
      </c>
      <c r="G516">
        <v>844</v>
      </c>
      <c r="H516">
        <v>10</v>
      </c>
      <c r="I516" t="s">
        <v>12</v>
      </c>
      <c r="J516" t="s">
        <v>13</v>
      </c>
      <c r="K516" s="6">
        <f t="shared" si="32"/>
        <v>1688</v>
      </c>
      <c r="L516" s="6">
        <f t="shared" si="33"/>
        <v>-15192</v>
      </c>
      <c r="M516" s="6">
        <f>_xlfn.XLOOKUP(E516, Products!A:A, Products!E:E)</f>
        <v>211</v>
      </c>
      <c r="N516" s="6">
        <f t="shared" si="34"/>
        <v>422</v>
      </c>
      <c r="O516" s="8">
        <f t="shared" si="35"/>
        <v>-15614</v>
      </c>
      <c r="Q516" s="8"/>
      <c r="R516" s="8"/>
    </row>
    <row r="517" spans="1:18">
      <c r="A517" s="4">
        <v>100986</v>
      </c>
      <c r="B517" s="1">
        <v>45603</v>
      </c>
      <c r="C517" s="1">
        <v>45301</v>
      </c>
      <c r="D517" t="s">
        <v>407</v>
      </c>
      <c r="E517" t="s">
        <v>247</v>
      </c>
      <c r="F517">
        <v>2</v>
      </c>
      <c r="G517">
        <v>297</v>
      </c>
      <c r="H517">
        <v>5</v>
      </c>
      <c r="I517" t="s">
        <v>19</v>
      </c>
      <c r="J517" t="s">
        <v>22</v>
      </c>
      <c r="K517" s="6">
        <f t="shared" si="32"/>
        <v>594</v>
      </c>
      <c r="L517" s="6">
        <f t="shared" si="33"/>
        <v>-2376</v>
      </c>
      <c r="M517" s="6">
        <f>_xlfn.XLOOKUP(E517, Products!A:A, Products!E:E)</f>
        <v>70</v>
      </c>
      <c r="N517" s="6">
        <f t="shared" si="34"/>
        <v>140</v>
      </c>
      <c r="O517" s="8">
        <f t="shared" si="35"/>
        <v>-2516</v>
      </c>
      <c r="Q517" s="8"/>
      <c r="R517" s="8"/>
    </row>
    <row r="518" spans="1:18">
      <c r="A518" s="4">
        <v>100375</v>
      </c>
      <c r="B518" s="1">
        <v>45603</v>
      </c>
      <c r="C518" s="1">
        <v>45298</v>
      </c>
      <c r="D518" t="s">
        <v>258</v>
      </c>
      <c r="E518" t="s">
        <v>120</v>
      </c>
      <c r="F518">
        <v>2</v>
      </c>
      <c r="G518">
        <v>317</v>
      </c>
      <c r="H518">
        <v>10</v>
      </c>
      <c r="I518" t="s">
        <v>19</v>
      </c>
      <c r="J518" t="s">
        <v>13</v>
      </c>
      <c r="K518" s="6">
        <f t="shared" si="32"/>
        <v>634</v>
      </c>
      <c r="L518" s="6">
        <f t="shared" si="33"/>
        <v>-5706</v>
      </c>
      <c r="M518" s="6">
        <f>_xlfn.XLOOKUP(E518, Products!A:A, Products!E:E)</f>
        <v>52</v>
      </c>
      <c r="N518" s="6">
        <f t="shared" si="34"/>
        <v>104</v>
      </c>
      <c r="O518" s="8">
        <f t="shared" si="35"/>
        <v>-5810</v>
      </c>
      <c r="Q518" s="8"/>
      <c r="R518" s="8"/>
    </row>
    <row r="519" spans="1:18">
      <c r="A519" s="4">
        <v>100072</v>
      </c>
      <c r="B519" s="1">
        <v>45601</v>
      </c>
      <c r="C519" s="1">
        <v>45300</v>
      </c>
      <c r="D519" t="s">
        <v>135</v>
      </c>
      <c r="E519" t="s">
        <v>71</v>
      </c>
      <c r="F519">
        <v>2</v>
      </c>
      <c r="G519">
        <v>762</v>
      </c>
      <c r="H519">
        <v>0</v>
      </c>
      <c r="I519" t="s">
        <v>29</v>
      </c>
      <c r="J519" t="s">
        <v>13</v>
      </c>
      <c r="K519" s="6">
        <f t="shared" si="32"/>
        <v>1524</v>
      </c>
      <c r="L519" s="6">
        <f t="shared" si="33"/>
        <v>1524</v>
      </c>
      <c r="M519" s="6">
        <f>_xlfn.XLOOKUP(E519, Products!A:A, Products!E:E)</f>
        <v>126</v>
      </c>
      <c r="N519" s="6">
        <f t="shared" si="34"/>
        <v>252</v>
      </c>
      <c r="O519" s="8">
        <f t="shared" si="35"/>
        <v>1272</v>
      </c>
      <c r="Q519" s="8"/>
      <c r="R519" s="8"/>
    </row>
    <row r="520" spans="1:18">
      <c r="A520" s="4">
        <v>100528</v>
      </c>
      <c r="B520" s="1">
        <v>45600</v>
      </c>
      <c r="C520" s="1">
        <v>45301</v>
      </c>
      <c r="D520" t="s">
        <v>232</v>
      </c>
      <c r="E520" t="s">
        <v>325</v>
      </c>
      <c r="F520">
        <v>2</v>
      </c>
      <c r="G520">
        <v>415</v>
      </c>
      <c r="H520">
        <v>0</v>
      </c>
      <c r="I520" t="s">
        <v>19</v>
      </c>
      <c r="J520" t="s">
        <v>16</v>
      </c>
      <c r="K520" s="6">
        <f t="shared" si="32"/>
        <v>830</v>
      </c>
      <c r="L520" s="6">
        <f t="shared" si="33"/>
        <v>830</v>
      </c>
      <c r="M520" s="6">
        <f>_xlfn.XLOOKUP(E520, Products!A:A, Products!E:E)</f>
        <v>68</v>
      </c>
      <c r="N520" s="6">
        <f t="shared" si="34"/>
        <v>136</v>
      </c>
      <c r="O520" s="8">
        <f t="shared" si="35"/>
        <v>694</v>
      </c>
      <c r="Q520" s="8"/>
      <c r="R520" s="8"/>
    </row>
    <row r="521" spans="1:18">
      <c r="A521" s="4">
        <v>100255</v>
      </c>
      <c r="B521" s="1">
        <v>45599</v>
      </c>
      <c r="C521" s="1">
        <v>45298</v>
      </c>
      <c r="D521" t="s">
        <v>35</v>
      </c>
      <c r="E521" t="s">
        <v>138</v>
      </c>
      <c r="F521">
        <v>2</v>
      </c>
      <c r="G521">
        <v>1276</v>
      </c>
      <c r="H521">
        <v>10</v>
      </c>
      <c r="I521" t="s">
        <v>19</v>
      </c>
      <c r="J521" t="s">
        <v>16</v>
      </c>
      <c r="K521" s="6">
        <f t="shared" si="32"/>
        <v>2552</v>
      </c>
      <c r="L521" s="6">
        <f t="shared" si="33"/>
        <v>-22968</v>
      </c>
      <c r="M521" s="6">
        <f>_xlfn.XLOOKUP(E521, Products!A:A, Products!E:E)</f>
        <v>186</v>
      </c>
      <c r="N521" s="6">
        <f t="shared" si="34"/>
        <v>372</v>
      </c>
      <c r="O521" s="8">
        <f t="shared" si="35"/>
        <v>-23340</v>
      </c>
      <c r="Q521" s="8"/>
      <c r="R521" s="8"/>
    </row>
    <row r="522" spans="1:18">
      <c r="A522" s="4">
        <v>100089</v>
      </c>
      <c r="B522" s="1">
        <v>45598</v>
      </c>
      <c r="C522" s="1">
        <v>45301</v>
      </c>
      <c r="D522" t="s">
        <v>141</v>
      </c>
      <c r="E522" t="s">
        <v>152</v>
      </c>
      <c r="F522">
        <v>2</v>
      </c>
      <c r="G522">
        <v>1539</v>
      </c>
      <c r="H522">
        <v>0</v>
      </c>
      <c r="I522" t="s">
        <v>19</v>
      </c>
      <c r="J522" t="s">
        <v>26</v>
      </c>
      <c r="K522" s="6">
        <f t="shared" si="32"/>
        <v>3078</v>
      </c>
      <c r="L522" s="6">
        <f t="shared" si="33"/>
        <v>3078</v>
      </c>
      <c r="M522" s="6">
        <f>_xlfn.XLOOKUP(E522, Products!A:A, Products!E:E)</f>
        <v>272</v>
      </c>
      <c r="N522" s="6">
        <f t="shared" si="34"/>
        <v>544</v>
      </c>
      <c r="O522" s="8">
        <f t="shared" si="35"/>
        <v>2534</v>
      </c>
      <c r="Q522" s="8"/>
      <c r="R522" s="8"/>
    </row>
    <row r="523" spans="1:18">
      <c r="A523" s="4">
        <v>100148</v>
      </c>
      <c r="B523" s="1">
        <v>45597</v>
      </c>
      <c r="C523" s="1">
        <v>45295</v>
      </c>
      <c r="D523" t="s">
        <v>105</v>
      </c>
      <c r="E523" t="s">
        <v>120</v>
      </c>
      <c r="F523">
        <v>2</v>
      </c>
      <c r="G523">
        <v>406</v>
      </c>
      <c r="H523">
        <v>5</v>
      </c>
      <c r="I523" t="s">
        <v>32</v>
      </c>
      <c r="J523" t="s">
        <v>26</v>
      </c>
      <c r="K523" s="6">
        <f t="shared" si="32"/>
        <v>812</v>
      </c>
      <c r="L523" s="6">
        <f t="shared" si="33"/>
        <v>-3248</v>
      </c>
      <c r="M523" s="6">
        <f>_xlfn.XLOOKUP(E523, Products!A:A, Products!E:E)</f>
        <v>52</v>
      </c>
      <c r="N523" s="6">
        <f t="shared" si="34"/>
        <v>104</v>
      </c>
      <c r="O523" s="8">
        <f t="shared" si="35"/>
        <v>-3352</v>
      </c>
      <c r="Q523" s="8"/>
      <c r="R523" s="8"/>
    </row>
    <row r="524" spans="1:18">
      <c r="A524" s="4">
        <v>100515</v>
      </c>
      <c r="B524" s="1">
        <v>45597</v>
      </c>
      <c r="C524" s="1">
        <v>45300</v>
      </c>
      <c r="D524" t="s">
        <v>179</v>
      </c>
      <c r="E524" t="s">
        <v>71</v>
      </c>
      <c r="F524">
        <v>2</v>
      </c>
      <c r="G524">
        <v>345</v>
      </c>
      <c r="H524">
        <v>5</v>
      </c>
      <c r="I524" t="s">
        <v>32</v>
      </c>
      <c r="J524" t="s">
        <v>16</v>
      </c>
      <c r="K524" s="6">
        <f t="shared" si="32"/>
        <v>690</v>
      </c>
      <c r="L524" s="6">
        <f t="shared" si="33"/>
        <v>-2760</v>
      </c>
      <c r="M524" s="6">
        <f>_xlfn.XLOOKUP(E524, Products!A:A, Products!E:E)</f>
        <v>126</v>
      </c>
      <c r="N524" s="6">
        <f t="shared" si="34"/>
        <v>252</v>
      </c>
      <c r="O524" s="8">
        <f t="shared" si="35"/>
        <v>-3012</v>
      </c>
      <c r="Q524" s="8"/>
      <c r="R524" s="8"/>
    </row>
    <row r="525" spans="1:18">
      <c r="A525" s="4">
        <v>100031</v>
      </c>
      <c r="B525" s="1">
        <v>45596</v>
      </c>
      <c r="C525" s="1">
        <v>45296</v>
      </c>
      <c r="D525" t="s">
        <v>70</v>
      </c>
      <c r="E525" t="s">
        <v>71</v>
      </c>
      <c r="F525">
        <v>2</v>
      </c>
      <c r="G525">
        <v>284</v>
      </c>
      <c r="H525">
        <v>10</v>
      </c>
      <c r="I525" t="s">
        <v>32</v>
      </c>
      <c r="J525" t="s">
        <v>16</v>
      </c>
      <c r="K525" s="6">
        <f t="shared" si="32"/>
        <v>568</v>
      </c>
      <c r="L525" s="6">
        <f t="shared" si="33"/>
        <v>-5112</v>
      </c>
      <c r="M525" s="6">
        <f>_xlfn.XLOOKUP(E525, Products!A:A, Products!E:E)</f>
        <v>126</v>
      </c>
      <c r="N525" s="6">
        <f t="shared" si="34"/>
        <v>252</v>
      </c>
      <c r="O525" s="8">
        <f t="shared" si="35"/>
        <v>-5364</v>
      </c>
      <c r="Q525" s="8"/>
      <c r="R525" s="8"/>
    </row>
    <row r="526" spans="1:18">
      <c r="A526" s="4">
        <v>100899</v>
      </c>
      <c r="B526" s="1">
        <v>45596</v>
      </c>
      <c r="C526" s="1">
        <v>45295</v>
      </c>
      <c r="D526" t="s">
        <v>171</v>
      </c>
      <c r="E526" t="s">
        <v>55</v>
      </c>
      <c r="F526">
        <v>2</v>
      </c>
      <c r="G526">
        <v>1556</v>
      </c>
      <c r="H526">
        <v>5</v>
      </c>
      <c r="I526" t="s">
        <v>29</v>
      </c>
      <c r="J526" t="s">
        <v>22</v>
      </c>
      <c r="K526" s="6">
        <f t="shared" si="32"/>
        <v>3112</v>
      </c>
      <c r="L526" s="6">
        <f t="shared" si="33"/>
        <v>-12448</v>
      </c>
      <c r="M526" s="6">
        <f>_xlfn.XLOOKUP(E526, Products!A:A, Products!E:E)</f>
        <v>141</v>
      </c>
      <c r="N526" s="6">
        <f t="shared" si="34"/>
        <v>282</v>
      </c>
      <c r="O526" s="8">
        <f t="shared" si="35"/>
        <v>-12730</v>
      </c>
      <c r="Q526" s="8"/>
      <c r="R526" s="8"/>
    </row>
    <row r="527" spans="1:18">
      <c r="A527" s="4">
        <v>100153</v>
      </c>
      <c r="B527" s="1">
        <v>45595</v>
      </c>
      <c r="C527" s="1">
        <v>45295</v>
      </c>
      <c r="D527" t="s">
        <v>215</v>
      </c>
      <c r="E527" t="s">
        <v>201</v>
      </c>
      <c r="F527">
        <v>2</v>
      </c>
      <c r="G527">
        <v>1037</v>
      </c>
      <c r="H527">
        <v>0</v>
      </c>
      <c r="I527" t="s">
        <v>12</v>
      </c>
      <c r="J527" t="s">
        <v>13</v>
      </c>
      <c r="K527" s="6">
        <f t="shared" si="32"/>
        <v>2074</v>
      </c>
      <c r="L527" s="6">
        <f t="shared" si="33"/>
        <v>2074</v>
      </c>
      <c r="M527" s="6">
        <f>_xlfn.XLOOKUP(E527, Products!A:A, Products!E:E)</f>
        <v>123</v>
      </c>
      <c r="N527" s="6">
        <f t="shared" si="34"/>
        <v>246</v>
      </c>
      <c r="O527" s="8">
        <f t="shared" si="35"/>
        <v>1828</v>
      </c>
      <c r="Q527" s="8"/>
      <c r="R527" s="8"/>
    </row>
    <row r="528" spans="1:18">
      <c r="A528" s="4">
        <v>100664</v>
      </c>
      <c r="B528" s="1">
        <v>45595</v>
      </c>
      <c r="C528" s="1">
        <v>45296</v>
      </c>
      <c r="D528" t="s">
        <v>387</v>
      </c>
      <c r="E528" t="s">
        <v>142</v>
      </c>
      <c r="F528">
        <v>2</v>
      </c>
      <c r="G528">
        <v>933</v>
      </c>
      <c r="H528">
        <v>0</v>
      </c>
      <c r="I528" t="s">
        <v>29</v>
      </c>
      <c r="J528" t="s">
        <v>16</v>
      </c>
      <c r="K528" s="6">
        <f t="shared" si="32"/>
        <v>1866</v>
      </c>
      <c r="L528" s="6">
        <f t="shared" si="33"/>
        <v>1866</v>
      </c>
      <c r="M528" s="6">
        <f>_xlfn.XLOOKUP(E528, Products!A:A, Products!E:E)</f>
        <v>276</v>
      </c>
      <c r="N528" s="6">
        <f t="shared" si="34"/>
        <v>552</v>
      </c>
      <c r="O528" s="8">
        <f t="shared" si="35"/>
        <v>1314</v>
      </c>
      <c r="Q528" s="8"/>
      <c r="R528" s="8"/>
    </row>
    <row r="529" spans="1:18">
      <c r="A529" s="4">
        <v>100941</v>
      </c>
      <c r="B529" s="1">
        <v>45595</v>
      </c>
      <c r="C529" s="1">
        <v>45295</v>
      </c>
      <c r="D529" t="s">
        <v>254</v>
      </c>
      <c r="E529" t="s">
        <v>224</v>
      </c>
      <c r="F529">
        <v>2</v>
      </c>
      <c r="G529">
        <v>1422</v>
      </c>
      <c r="H529">
        <v>5</v>
      </c>
      <c r="I529" t="s">
        <v>12</v>
      </c>
      <c r="J529" t="s">
        <v>26</v>
      </c>
      <c r="K529" s="6">
        <f t="shared" si="32"/>
        <v>2844</v>
      </c>
      <c r="L529" s="6">
        <f t="shared" si="33"/>
        <v>-11376</v>
      </c>
      <c r="M529" s="6">
        <f>_xlfn.XLOOKUP(E529, Products!A:A, Products!E:E)</f>
        <v>118</v>
      </c>
      <c r="N529" s="6">
        <f t="shared" si="34"/>
        <v>236</v>
      </c>
      <c r="O529" s="8">
        <f t="shared" si="35"/>
        <v>-11612</v>
      </c>
      <c r="Q529" s="8"/>
      <c r="R529" s="8"/>
    </row>
    <row r="530" spans="1:18">
      <c r="A530" s="4">
        <v>100927</v>
      </c>
      <c r="B530" s="1">
        <v>45594</v>
      </c>
      <c r="C530" s="1">
        <v>45294</v>
      </c>
      <c r="D530" t="s">
        <v>23</v>
      </c>
      <c r="E530" t="s">
        <v>69</v>
      </c>
      <c r="F530">
        <v>2</v>
      </c>
      <c r="G530">
        <v>1920</v>
      </c>
      <c r="H530">
        <v>5</v>
      </c>
      <c r="I530" t="s">
        <v>12</v>
      </c>
      <c r="J530" t="s">
        <v>13</v>
      </c>
      <c r="K530" s="6">
        <f t="shared" si="32"/>
        <v>3840</v>
      </c>
      <c r="L530" s="6">
        <f t="shared" si="33"/>
        <v>-15360</v>
      </c>
      <c r="M530" s="6">
        <f>_xlfn.XLOOKUP(E530, Products!A:A, Products!E:E)</f>
        <v>82</v>
      </c>
      <c r="N530" s="6">
        <f t="shared" si="34"/>
        <v>164</v>
      </c>
      <c r="O530" s="8">
        <f t="shared" si="35"/>
        <v>-15524</v>
      </c>
      <c r="Q530" s="8"/>
      <c r="R530" s="8"/>
    </row>
    <row r="531" spans="1:18">
      <c r="A531" s="4">
        <v>100422</v>
      </c>
      <c r="B531" s="1">
        <v>45594</v>
      </c>
      <c r="C531" s="1">
        <v>45299</v>
      </c>
      <c r="D531" t="s">
        <v>255</v>
      </c>
      <c r="E531" t="s">
        <v>99</v>
      </c>
      <c r="F531">
        <v>2</v>
      </c>
      <c r="G531">
        <v>1742</v>
      </c>
      <c r="H531">
        <v>5</v>
      </c>
      <c r="I531" t="s">
        <v>32</v>
      </c>
      <c r="J531" t="s">
        <v>26</v>
      </c>
      <c r="K531" s="6">
        <f t="shared" si="32"/>
        <v>3484</v>
      </c>
      <c r="L531" s="6">
        <f t="shared" si="33"/>
        <v>-13936</v>
      </c>
      <c r="M531" s="6">
        <f>_xlfn.XLOOKUP(E531, Products!A:A, Products!E:E)</f>
        <v>145</v>
      </c>
      <c r="N531" s="6">
        <f t="shared" si="34"/>
        <v>290</v>
      </c>
      <c r="O531" s="8">
        <f t="shared" si="35"/>
        <v>-14226</v>
      </c>
      <c r="Q531" s="8"/>
      <c r="R531" s="8"/>
    </row>
    <row r="532" spans="1:18">
      <c r="A532" s="4">
        <v>100388</v>
      </c>
      <c r="B532" s="1">
        <v>45592</v>
      </c>
      <c r="C532" s="1">
        <v>45297</v>
      </c>
      <c r="D532" t="s">
        <v>332</v>
      </c>
      <c r="E532" t="s">
        <v>156</v>
      </c>
      <c r="F532">
        <v>2</v>
      </c>
      <c r="G532">
        <v>698</v>
      </c>
      <c r="H532">
        <v>10</v>
      </c>
      <c r="I532" t="s">
        <v>29</v>
      </c>
      <c r="J532" t="s">
        <v>26</v>
      </c>
      <c r="K532" s="6">
        <f t="shared" si="32"/>
        <v>1396</v>
      </c>
      <c r="L532" s="6">
        <f t="shared" si="33"/>
        <v>-12564</v>
      </c>
      <c r="M532" s="6">
        <f>_xlfn.XLOOKUP(E532, Products!A:A, Products!E:E)</f>
        <v>168</v>
      </c>
      <c r="N532" s="6">
        <f t="shared" si="34"/>
        <v>336</v>
      </c>
      <c r="O532" s="8">
        <f t="shared" si="35"/>
        <v>-12900</v>
      </c>
      <c r="Q532" s="8"/>
      <c r="R532" s="8"/>
    </row>
    <row r="533" spans="1:18">
      <c r="A533" s="4">
        <v>100056</v>
      </c>
      <c r="B533" s="1">
        <v>45592</v>
      </c>
      <c r="C533" s="1">
        <v>45298</v>
      </c>
      <c r="D533" t="s">
        <v>113</v>
      </c>
      <c r="E533" t="s">
        <v>68</v>
      </c>
      <c r="F533">
        <v>2</v>
      </c>
      <c r="G533">
        <v>1749</v>
      </c>
      <c r="H533">
        <v>15</v>
      </c>
      <c r="I533" t="s">
        <v>19</v>
      </c>
      <c r="J533" t="s">
        <v>13</v>
      </c>
      <c r="K533" s="6">
        <f t="shared" si="32"/>
        <v>3498</v>
      </c>
      <c r="L533" s="6">
        <f t="shared" si="33"/>
        <v>-48972</v>
      </c>
      <c r="M533" s="6">
        <f>_xlfn.XLOOKUP(E533, Products!A:A, Products!E:E)</f>
        <v>295</v>
      </c>
      <c r="N533" s="6">
        <f t="shared" si="34"/>
        <v>590</v>
      </c>
      <c r="O533" s="8">
        <f t="shared" si="35"/>
        <v>-49562</v>
      </c>
      <c r="Q533" s="8"/>
      <c r="R533" s="8"/>
    </row>
    <row r="534" spans="1:18">
      <c r="A534" s="4">
        <v>100782</v>
      </c>
      <c r="B534" s="1">
        <v>45591</v>
      </c>
      <c r="C534" s="1">
        <v>45297</v>
      </c>
      <c r="D534" t="s">
        <v>399</v>
      </c>
      <c r="E534" t="s">
        <v>156</v>
      </c>
      <c r="F534">
        <v>2</v>
      </c>
      <c r="G534">
        <v>1557</v>
      </c>
      <c r="H534">
        <v>5</v>
      </c>
      <c r="I534" t="s">
        <v>29</v>
      </c>
      <c r="J534" t="s">
        <v>22</v>
      </c>
      <c r="K534" s="6">
        <f t="shared" si="32"/>
        <v>3114</v>
      </c>
      <c r="L534" s="6">
        <f t="shared" si="33"/>
        <v>-12456</v>
      </c>
      <c r="M534" s="6">
        <f>_xlfn.XLOOKUP(E534, Products!A:A, Products!E:E)</f>
        <v>168</v>
      </c>
      <c r="N534" s="6">
        <f t="shared" si="34"/>
        <v>336</v>
      </c>
      <c r="O534" s="8">
        <f t="shared" si="35"/>
        <v>-12792</v>
      </c>
      <c r="Q534" s="8"/>
      <c r="R534" s="8"/>
    </row>
    <row r="535" spans="1:18">
      <c r="A535" s="4">
        <v>100307</v>
      </c>
      <c r="B535" s="1">
        <v>45587</v>
      </c>
      <c r="C535" s="1">
        <v>45301</v>
      </c>
      <c r="D535" t="s">
        <v>299</v>
      </c>
      <c r="E535" t="s">
        <v>137</v>
      </c>
      <c r="F535">
        <v>2</v>
      </c>
      <c r="G535">
        <v>587</v>
      </c>
      <c r="H535">
        <v>10</v>
      </c>
      <c r="I535" t="s">
        <v>29</v>
      </c>
      <c r="J535" t="s">
        <v>22</v>
      </c>
      <c r="K535" s="6">
        <f t="shared" si="32"/>
        <v>1174</v>
      </c>
      <c r="L535" s="6">
        <f t="shared" si="33"/>
        <v>-10566</v>
      </c>
      <c r="M535" s="6">
        <f>_xlfn.XLOOKUP(E535, Products!A:A, Products!E:E)</f>
        <v>239</v>
      </c>
      <c r="N535" s="6">
        <f t="shared" si="34"/>
        <v>478</v>
      </c>
      <c r="O535" s="8">
        <f t="shared" si="35"/>
        <v>-11044</v>
      </c>
      <c r="Q535" s="8"/>
      <c r="R535" s="8"/>
    </row>
    <row r="536" spans="1:18">
      <c r="A536" s="4">
        <v>100665</v>
      </c>
      <c r="B536" s="1">
        <v>45587</v>
      </c>
      <c r="C536" s="1">
        <v>45296</v>
      </c>
      <c r="D536" t="s">
        <v>350</v>
      </c>
      <c r="E536" t="s">
        <v>139</v>
      </c>
      <c r="F536">
        <v>2</v>
      </c>
      <c r="G536">
        <v>1258</v>
      </c>
      <c r="H536">
        <v>15</v>
      </c>
      <c r="I536" t="s">
        <v>12</v>
      </c>
      <c r="J536" t="s">
        <v>26</v>
      </c>
      <c r="K536" s="6">
        <f t="shared" si="32"/>
        <v>2516</v>
      </c>
      <c r="L536" s="6">
        <f t="shared" si="33"/>
        <v>-35224</v>
      </c>
      <c r="M536" s="6">
        <f>_xlfn.XLOOKUP(E536, Products!A:A, Products!E:E)</f>
        <v>280</v>
      </c>
      <c r="N536" s="6">
        <f t="shared" si="34"/>
        <v>560</v>
      </c>
      <c r="O536" s="8">
        <f t="shared" si="35"/>
        <v>-35784</v>
      </c>
      <c r="Q536" s="8"/>
      <c r="R536" s="8"/>
    </row>
    <row r="537" spans="1:18">
      <c r="A537" s="4">
        <v>100052</v>
      </c>
      <c r="B537" s="1">
        <v>45587</v>
      </c>
      <c r="C537" s="1">
        <v>45296</v>
      </c>
      <c r="D537" t="s">
        <v>106</v>
      </c>
      <c r="E537" t="s">
        <v>107</v>
      </c>
      <c r="F537">
        <v>2</v>
      </c>
      <c r="G537">
        <v>1151</v>
      </c>
      <c r="H537">
        <v>10</v>
      </c>
      <c r="I537" t="s">
        <v>12</v>
      </c>
      <c r="J537" t="s">
        <v>22</v>
      </c>
      <c r="K537" s="6">
        <f t="shared" si="32"/>
        <v>2302</v>
      </c>
      <c r="L537" s="6">
        <f t="shared" si="33"/>
        <v>-20718</v>
      </c>
      <c r="M537" s="6">
        <f>_xlfn.XLOOKUP(E537, Products!A:A, Products!E:E)</f>
        <v>232</v>
      </c>
      <c r="N537" s="6">
        <f t="shared" si="34"/>
        <v>464</v>
      </c>
      <c r="O537" s="8">
        <f t="shared" si="35"/>
        <v>-21182</v>
      </c>
      <c r="Q537" s="8"/>
      <c r="R537" s="8"/>
    </row>
    <row r="538" spans="1:18">
      <c r="A538" s="4">
        <v>100732</v>
      </c>
      <c r="B538" s="1">
        <v>45584</v>
      </c>
      <c r="C538" s="1">
        <v>45294</v>
      </c>
      <c r="D538" t="s">
        <v>228</v>
      </c>
      <c r="E538" t="s">
        <v>97</v>
      </c>
      <c r="F538">
        <v>2</v>
      </c>
      <c r="G538">
        <v>1488</v>
      </c>
      <c r="H538">
        <v>10</v>
      </c>
      <c r="I538" t="s">
        <v>19</v>
      </c>
      <c r="J538" t="s">
        <v>13</v>
      </c>
      <c r="K538" s="6">
        <f t="shared" si="32"/>
        <v>2976</v>
      </c>
      <c r="L538" s="6">
        <f t="shared" si="33"/>
        <v>-26784</v>
      </c>
      <c r="M538" s="6">
        <f>_xlfn.XLOOKUP(E538, Products!A:A, Products!E:E)</f>
        <v>229</v>
      </c>
      <c r="N538" s="6">
        <f t="shared" si="34"/>
        <v>458</v>
      </c>
      <c r="O538" s="8">
        <f t="shared" si="35"/>
        <v>-27242</v>
      </c>
      <c r="Q538" s="8"/>
      <c r="R538" s="8"/>
    </row>
    <row r="539" spans="1:18">
      <c r="A539" s="4">
        <v>100074</v>
      </c>
      <c r="B539" s="1">
        <v>45583</v>
      </c>
      <c r="C539" s="1">
        <v>45294</v>
      </c>
      <c r="D539" t="s">
        <v>35</v>
      </c>
      <c r="E539" t="s">
        <v>138</v>
      </c>
      <c r="F539">
        <v>2</v>
      </c>
      <c r="G539">
        <v>1912</v>
      </c>
      <c r="H539">
        <v>10</v>
      </c>
      <c r="I539" t="s">
        <v>32</v>
      </c>
      <c r="J539" t="s">
        <v>22</v>
      </c>
      <c r="K539" s="6">
        <f t="shared" si="32"/>
        <v>3824</v>
      </c>
      <c r="L539" s="6">
        <f t="shared" si="33"/>
        <v>-34416</v>
      </c>
      <c r="M539" s="6">
        <f>_xlfn.XLOOKUP(E539, Products!A:A, Products!E:E)</f>
        <v>186</v>
      </c>
      <c r="N539" s="6">
        <f t="shared" si="34"/>
        <v>372</v>
      </c>
      <c r="O539" s="8">
        <f t="shared" si="35"/>
        <v>-34788</v>
      </c>
      <c r="Q539" s="8"/>
      <c r="R539" s="8"/>
    </row>
    <row r="540" spans="1:18">
      <c r="A540" s="4">
        <v>100346</v>
      </c>
      <c r="B540" s="1">
        <v>45583</v>
      </c>
      <c r="C540" s="1">
        <v>45298</v>
      </c>
      <c r="D540" t="s">
        <v>317</v>
      </c>
      <c r="E540" t="s">
        <v>176</v>
      </c>
      <c r="F540">
        <v>2</v>
      </c>
      <c r="G540">
        <v>1326</v>
      </c>
      <c r="H540">
        <v>10</v>
      </c>
      <c r="I540" t="s">
        <v>19</v>
      </c>
      <c r="J540" t="s">
        <v>16</v>
      </c>
      <c r="K540" s="6">
        <f t="shared" si="32"/>
        <v>2652</v>
      </c>
      <c r="L540" s="6">
        <f t="shared" si="33"/>
        <v>-23868</v>
      </c>
      <c r="M540" s="6">
        <f>_xlfn.XLOOKUP(E540, Products!A:A, Products!E:E)</f>
        <v>61</v>
      </c>
      <c r="N540" s="6">
        <f t="shared" si="34"/>
        <v>122</v>
      </c>
      <c r="O540" s="8">
        <f t="shared" si="35"/>
        <v>-23990</v>
      </c>
      <c r="Q540" s="8"/>
      <c r="R540" s="8"/>
    </row>
    <row r="541" spans="1:18">
      <c r="A541" s="4">
        <v>100036</v>
      </c>
      <c r="B541" s="1">
        <v>45583</v>
      </c>
      <c r="C541" s="1">
        <v>45297</v>
      </c>
      <c r="D541" t="s">
        <v>79</v>
      </c>
      <c r="E541" t="s">
        <v>80</v>
      </c>
      <c r="F541">
        <v>2</v>
      </c>
      <c r="G541">
        <v>1855</v>
      </c>
      <c r="H541">
        <v>5</v>
      </c>
      <c r="I541" t="s">
        <v>29</v>
      </c>
      <c r="J541" t="s">
        <v>16</v>
      </c>
      <c r="K541" s="6">
        <f t="shared" si="32"/>
        <v>3710</v>
      </c>
      <c r="L541" s="6">
        <f t="shared" si="33"/>
        <v>-14840</v>
      </c>
      <c r="M541" s="6">
        <f>_xlfn.XLOOKUP(E541, Products!A:A, Products!E:E)</f>
        <v>71</v>
      </c>
      <c r="N541" s="6">
        <f t="shared" si="34"/>
        <v>142</v>
      </c>
      <c r="O541" s="8">
        <f t="shared" si="35"/>
        <v>-14982</v>
      </c>
      <c r="Q541" s="8"/>
      <c r="R541" s="8"/>
    </row>
    <row r="542" spans="1:18">
      <c r="A542" s="4">
        <v>100120</v>
      </c>
      <c r="B542" s="1">
        <v>45583</v>
      </c>
      <c r="C542" s="1">
        <v>45294</v>
      </c>
      <c r="D542" t="s">
        <v>188</v>
      </c>
      <c r="E542" t="s">
        <v>129</v>
      </c>
      <c r="F542">
        <v>2</v>
      </c>
      <c r="G542">
        <v>559</v>
      </c>
      <c r="H542">
        <v>0</v>
      </c>
      <c r="I542" t="s">
        <v>12</v>
      </c>
      <c r="J542" t="s">
        <v>16</v>
      </c>
      <c r="K542" s="6">
        <f t="shared" si="32"/>
        <v>1118</v>
      </c>
      <c r="L542" s="6">
        <f t="shared" si="33"/>
        <v>1118</v>
      </c>
      <c r="M542" s="6">
        <f>_xlfn.XLOOKUP(E542, Products!A:A, Products!E:E)</f>
        <v>171</v>
      </c>
      <c r="N542" s="6">
        <f t="shared" si="34"/>
        <v>342</v>
      </c>
      <c r="O542" s="8">
        <f t="shared" si="35"/>
        <v>776</v>
      </c>
      <c r="Q542" s="8"/>
      <c r="R542" s="8"/>
    </row>
    <row r="543" spans="1:18">
      <c r="A543" s="4">
        <v>100919</v>
      </c>
      <c r="B543" s="1">
        <v>45581</v>
      </c>
      <c r="C543" s="1">
        <v>45299</v>
      </c>
      <c r="D543" t="s">
        <v>258</v>
      </c>
      <c r="E543" t="s">
        <v>187</v>
      </c>
      <c r="F543">
        <v>2</v>
      </c>
      <c r="G543">
        <v>1232</v>
      </c>
      <c r="H543">
        <v>0</v>
      </c>
      <c r="I543" t="s">
        <v>19</v>
      </c>
      <c r="J543" t="s">
        <v>13</v>
      </c>
      <c r="K543" s="6">
        <f t="shared" si="32"/>
        <v>2464</v>
      </c>
      <c r="L543" s="6">
        <f t="shared" si="33"/>
        <v>2464</v>
      </c>
      <c r="M543" s="6">
        <f>_xlfn.XLOOKUP(E543, Products!A:A, Products!E:E)</f>
        <v>68</v>
      </c>
      <c r="N543" s="6">
        <f t="shared" si="34"/>
        <v>136</v>
      </c>
      <c r="O543" s="8">
        <f t="shared" si="35"/>
        <v>2328</v>
      </c>
      <c r="Q543" s="8"/>
      <c r="R543" s="8"/>
    </row>
    <row r="544" spans="1:18">
      <c r="A544" s="4">
        <v>100596</v>
      </c>
      <c r="B544" s="1">
        <v>45581</v>
      </c>
      <c r="C544" s="1">
        <v>45297</v>
      </c>
      <c r="D544" t="s">
        <v>293</v>
      </c>
      <c r="E544" t="s">
        <v>11</v>
      </c>
      <c r="F544">
        <v>2</v>
      </c>
      <c r="G544">
        <v>876</v>
      </c>
      <c r="H544">
        <v>15</v>
      </c>
      <c r="I544" t="s">
        <v>29</v>
      </c>
      <c r="J544" t="s">
        <v>13</v>
      </c>
      <c r="K544" s="6">
        <f t="shared" si="32"/>
        <v>1752</v>
      </c>
      <c r="L544" s="6">
        <f t="shared" si="33"/>
        <v>-24528</v>
      </c>
      <c r="M544" s="6">
        <f>_xlfn.XLOOKUP(E544, Products!A:A, Products!E:E)</f>
        <v>144</v>
      </c>
      <c r="N544" s="6">
        <f t="shared" si="34"/>
        <v>288</v>
      </c>
      <c r="O544" s="8">
        <f t="shared" si="35"/>
        <v>-24816</v>
      </c>
      <c r="Q544" s="8"/>
      <c r="R544" s="8"/>
    </row>
    <row r="545" spans="1:18">
      <c r="A545" s="4">
        <v>100721</v>
      </c>
      <c r="B545" s="1">
        <v>45579</v>
      </c>
      <c r="C545" s="1">
        <v>45300</v>
      </c>
      <c r="D545" t="s">
        <v>370</v>
      </c>
      <c r="E545" t="s">
        <v>11</v>
      </c>
      <c r="F545">
        <v>2</v>
      </c>
      <c r="G545">
        <v>779</v>
      </c>
      <c r="H545">
        <v>15</v>
      </c>
      <c r="I545" t="s">
        <v>19</v>
      </c>
      <c r="J545" t="s">
        <v>26</v>
      </c>
      <c r="K545" s="6">
        <f t="shared" si="32"/>
        <v>1558</v>
      </c>
      <c r="L545" s="6">
        <f t="shared" si="33"/>
        <v>-21812</v>
      </c>
      <c r="M545" s="6">
        <f>_xlfn.XLOOKUP(E545, Products!A:A, Products!E:E)</f>
        <v>144</v>
      </c>
      <c r="N545" s="6">
        <f t="shared" si="34"/>
        <v>288</v>
      </c>
      <c r="O545" s="8">
        <f t="shared" si="35"/>
        <v>-22100</v>
      </c>
      <c r="Q545" s="8"/>
      <c r="R545" s="8"/>
    </row>
    <row r="546" spans="1:18">
      <c r="A546" s="4">
        <v>100160</v>
      </c>
      <c r="B546" s="1">
        <v>45573</v>
      </c>
      <c r="C546" s="1">
        <v>45302</v>
      </c>
      <c r="D546" t="s">
        <v>219</v>
      </c>
      <c r="E546" t="s">
        <v>59</v>
      </c>
      <c r="F546">
        <v>2</v>
      </c>
      <c r="G546">
        <v>217</v>
      </c>
      <c r="H546">
        <v>0</v>
      </c>
      <c r="I546" t="s">
        <v>29</v>
      </c>
      <c r="J546" t="s">
        <v>16</v>
      </c>
      <c r="K546" s="6">
        <f t="shared" si="32"/>
        <v>434</v>
      </c>
      <c r="L546" s="6">
        <f t="shared" si="33"/>
        <v>434</v>
      </c>
      <c r="M546" s="6">
        <f>_xlfn.XLOOKUP(E546, Products!A:A, Products!E:E)</f>
        <v>116</v>
      </c>
      <c r="N546" s="6">
        <f t="shared" si="34"/>
        <v>232</v>
      </c>
      <c r="O546" s="8">
        <f t="shared" si="35"/>
        <v>202</v>
      </c>
      <c r="Q546" s="8"/>
      <c r="R546" s="8"/>
    </row>
    <row r="547" spans="1:18">
      <c r="A547" s="4">
        <v>100379</v>
      </c>
      <c r="B547" s="1">
        <v>45572</v>
      </c>
      <c r="C547" s="1">
        <v>45294</v>
      </c>
      <c r="D547" t="s">
        <v>306</v>
      </c>
      <c r="E547" t="s">
        <v>44</v>
      </c>
      <c r="F547">
        <v>2</v>
      </c>
      <c r="G547">
        <v>1704</v>
      </c>
      <c r="H547">
        <v>10</v>
      </c>
      <c r="I547" t="s">
        <v>29</v>
      </c>
      <c r="J547" t="s">
        <v>22</v>
      </c>
      <c r="K547" s="6">
        <f t="shared" si="32"/>
        <v>3408</v>
      </c>
      <c r="L547" s="6">
        <f t="shared" si="33"/>
        <v>-30672</v>
      </c>
      <c r="M547" s="6">
        <f>_xlfn.XLOOKUP(E547, Products!A:A, Products!E:E)</f>
        <v>204</v>
      </c>
      <c r="N547" s="6">
        <f t="shared" si="34"/>
        <v>408</v>
      </c>
      <c r="O547" s="8">
        <f t="shared" si="35"/>
        <v>-31080</v>
      </c>
      <c r="Q547" s="8"/>
      <c r="R547" s="8"/>
    </row>
    <row r="548" spans="1:18">
      <c r="A548" s="4">
        <v>100937</v>
      </c>
      <c r="B548" s="1">
        <v>45571</v>
      </c>
      <c r="C548" s="1">
        <v>45299</v>
      </c>
      <c r="D548" t="s">
        <v>104</v>
      </c>
      <c r="E548" t="s">
        <v>34</v>
      </c>
      <c r="F548">
        <v>2</v>
      </c>
      <c r="G548">
        <v>1950</v>
      </c>
      <c r="H548">
        <v>0</v>
      </c>
      <c r="I548" t="s">
        <v>29</v>
      </c>
      <c r="J548" t="s">
        <v>22</v>
      </c>
      <c r="K548" s="6">
        <f t="shared" si="32"/>
        <v>3900</v>
      </c>
      <c r="L548" s="6">
        <f t="shared" si="33"/>
        <v>3900</v>
      </c>
      <c r="M548" s="6">
        <f>_xlfn.XLOOKUP(E548, Products!A:A, Products!E:E)</f>
        <v>187</v>
      </c>
      <c r="N548" s="6">
        <f t="shared" si="34"/>
        <v>374</v>
      </c>
      <c r="O548" s="8">
        <f t="shared" si="35"/>
        <v>3526</v>
      </c>
      <c r="Q548" s="8"/>
      <c r="R548" s="8"/>
    </row>
    <row r="549" spans="1:18">
      <c r="A549" s="4">
        <v>100740</v>
      </c>
      <c r="B549" s="1">
        <v>45570</v>
      </c>
      <c r="C549" s="1">
        <v>45298</v>
      </c>
      <c r="D549" t="s">
        <v>191</v>
      </c>
      <c r="E549" t="s">
        <v>56</v>
      </c>
      <c r="F549">
        <v>2</v>
      </c>
      <c r="G549">
        <v>348</v>
      </c>
      <c r="H549">
        <v>10</v>
      </c>
      <c r="I549" t="s">
        <v>19</v>
      </c>
      <c r="J549" t="s">
        <v>16</v>
      </c>
      <c r="K549" s="6">
        <f t="shared" si="32"/>
        <v>696</v>
      </c>
      <c r="L549" s="6">
        <f t="shared" si="33"/>
        <v>-6264</v>
      </c>
      <c r="M549" s="6">
        <f>_xlfn.XLOOKUP(E549, Products!A:A, Products!E:E)</f>
        <v>212</v>
      </c>
      <c r="N549" s="6">
        <f t="shared" si="34"/>
        <v>424</v>
      </c>
      <c r="O549" s="8">
        <f t="shared" si="35"/>
        <v>-6688</v>
      </c>
      <c r="Q549" s="8"/>
      <c r="R549" s="8"/>
    </row>
    <row r="550" spans="1:18">
      <c r="A550" s="4">
        <v>100372</v>
      </c>
      <c r="B550" s="1">
        <v>45566</v>
      </c>
      <c r="C550" s="1">
        <v>45296</v>
      </c>
      <c r="D550" t="s">
        <v>84</v>
      </c>
      <c r="E550" t="s">
        <v>56</v>
      </c>
      <c r="F550">
        <v>2</v>
      </c>
      <c r="G550">
        <v>1377</v>
      </c>
      <c r="H550">
        <v>0</v>
      </c>
      <c r="I550" t="s">
        <v>12</v>
      </c>
      <c r="J550" t="s">
        <v>26</v>
      </c>
      <c r="K550" s="6">
        <f t="shared" si="32"/>
        <v>2754</v>
      </c>
      <c r="L550" s="6">
        <f t="shared" si="33"/>
        <v>2754</v>
      </c>
      <c r="M550" s="6">
        <f>_xlfn.XLOOKUP(E550, Products!A:A, Products!E:E)</f>
        <v>212</v>
      </c>
      <c r="N550" s="6">
        <f t="shared" si="34"/>
        <v>424</v>
      </c>
      <c r="O550" s="8">
        <f t="shared" si="35"/>
        <v>2330</v>
      </c>
      <c r="Q550" s="8"/>
      <c r="R550" s="8"/>
    </row>
    <row r="551" spans="1:18">
      <c r="A551" s="4">
        <v>100377</v>
      </c>
      <c r="B551" s="1">
        <v>45566</v>
      </c>
      <c r="C551" s="1">
        <v>45298</v>
      </c>
      <c r="D551" t="s">
        <v>328</v>
      </c>
      <c r="E551" t="s">
        <v>260</v>
      </c>
      <c r="F551">
        <v>2</v>
      </c>
      <c r="G551">
        <v>1409</v>
      </c>
      <c r="H551">
        <v>10</v>
      </c>
      <c r="I551" t="s">
        <v>32</v>
      </c>
      <c r="J551" t="s">
        <v>13</v>
      </c>
      <c r="K551" s="6">
        <f t="shared" si="32"/>
        <v>2818</v>
      </c>
      <c r="L551" s="6">
        <f t="shared" si="33"/>
        <v>-25362</v>
      </c>
      <c r="M551" s="6">
        <f>_xlfn.XLOOKUP(E551, Products!A:A, Products!E:E)</f>
        <v>222</v>
      </c>
      <c r="N551" s="6">
        <f t="shared" si="34"/>
        <v>444</v>
      </c>
      <c r="O551" s="8">
        <f t="shared" si="35"/>
        <v>-25806</v>
      </c>
      <c r="Q551" s="8"/>
      <c r="R551" s="8"/>
    </row>
    <row r="552" spans="1:18">
      <c r="A552" s="4">
        <v>100015</v>
      </c>
      <c r="B552" s="1">
        <v>45565</v>
      </c>
      <c r="C552" s="1">
        <v>45297</v>
      </c>
      <c r="D552" t="s">
        <v>45</v>
      </c>
      <c r="E552" t="s">
        <v>46</v>
      </c>
      <c r="F552">
        <v>2</v>
      </c>
      <c r="G552">
        <v>1832</v>
      </c>
      <c r="H552">
        <v>5</v>
      </c>
      <c r="I552" t="s">
        <v>12</v>
      </c>
      <c r="J552" t="s">
        <v>26</v>
      </c>
      <c r="K552" s="6">
        <f t="shared" si="32"/>
        <v>3664</v>
      </c>
      <c r="L552" s="6">
        <f t="shared" si="33"/>
        <v>-14656</v>
      </c>
      <c r="M552" s="6">
        <f>_xlfn.XLOOKUP(E552, Products!A:A, Products!E:E)</f>
        <v>191</v>
      </c>
      <c r="N552" s="6">
        <f t="shared" si="34"/>
        <v>382</v>
      </c>
      <c r="O552" s="8">
        <f t="shared" si="35"/>
        <v>-15038</v>
      </c>
      <c r="Q552" s="8"/>
      <c r="R552" s="8"/>
    </row>
    <row r="553" spans="1:18">
      <c r="A553" s="4">
        <v>100753</v>
      </c>
      <c r="B553" s="1">
        <v>45564</v>
      </c>
      <c r="C553" s="1">
        <v>45300</v>
      </c>
      <c r="D553" t="s">
        <v>338</v>
      </c>
      <c r="E553" t="s">
        <v>31</v>
      </c>
      <c r="F553">
        <v>2</v>
      </c>
      <c r="G553">
        <v>815</v>
      </c>
      <c r="H553">
        <v>15</v>
      </c>
      <c r="I553" t="s">
        <v>29</v>
      </c>
      <c r="J553" t="s">
        <v>13</v>
      </c>
      <c r="K553" s="6">
        <f t="shared" si="32"/>
        <v>1630</v>
      </c>
      <c r="L553" s="6">
        <f t="shared" si="33"/>
        <v>-22820</v>
      </c>
      <c r="M553" s="6">
        <f>_xlfn.XLOOKUP(E553, Products!A:A, Products!E:E)</f>
        <v>187</v>
      </c>
      <c r="N553" s="6">
        <f t="shared" si="34"/>
        <v>374</v>
      </c>
      <c r="O553" s="8">
        <f t="shared" si="35"/>
        <v>-23194</v>
      </c>
      <c r="Q553" s="8"/>
      <c r="R553" s="8"/>
    </row>
    <row r="554" spans="1:18">
      <c r="A554" s="4">
        <v>100190</v>
      </c>
      <c r="B554" s="1">
        <v>45563</v>
      </c>
      <c r="C554" s="1">
        <v>45298</v>
      </c>
      <c r="D554" t="s">
        <v>237</v>
      </c>
      <c r="E554" t="s">
        <v>238</v>
      </c>
      <c r="F554">
        <v>2</v>
      </c>
      <c r="G554">
        <v>1076</v>
      </c>
      <c r="H554">
        <v>5</v>
      </c>
      <c r="I554" t="s">
        <v>29</v>
      </c>
      <c r="J554" t="s">
        <v>13</v>
      </c>
      <c r="K554" s="6">
        <f t="shared" si="32"/>
        <v>2152</v>
      </c>
      <c r="L554" s="6">
        <f t="shared" si="33"/>
        <v>-8608</v>
      </c>
      <c r="M554" s="6">
        <f>_xlfn.XLOOKUP(E554, Products!A:A, Products!E:E)</f>
        <v>265</v>
      </c>
      <c r="N554" s="6">
        <f t="shared" si="34"/>
        <v>530</v>
      </c>
      <c r="O554" s="8">
        <f t="shared" si="35"/>
        <v>-9138</v>
      </c>
      <c r="Q554" s="8"/>
      <c r="R554" s="8"/>
    </row>
    <row r="555" spans="1:18">
      <c r="A555" s="4">
        <v>100824</v>
      </c>
      <c r="B555" s="1">
        <v>45561</v>
      </c>
      <c r="C555" s="1">
        <v>45302</v>
      </c>
      <c r="D555" t="s">
        <v>372</v>
      </c>
      <c r="E555" t="s">
        <v>46</v>
      </c>
      <c r="F555">
        <v>2</v>
      </c>
      <c r="G555">
        <v>869</v>
      </c>
      <c r="H555">
        <v>15</v>
      </c>
      <c r="I555" t="s">
        <v>29</v>
      </c>
      <c r="J555" t="s">
        <v>22</v>
      </c>
      <c r="K555" s="6">
        <f t="shared" si="32"/>
        <v>1738</v>
      </c>
      <c r="L555" s="6">
        <f t="shared" si="33"/>
        <v>-24332</v>
      </c>
      <c r="M555" s="6">
        <f>_xlfn.XLOOKUP(E555, Products!A:A, Products!E:E)</f>
        <v>191</v>
      </c>
      <c r="N555" s="6">
        <f t="shared" si="34"/>
        <v>382</v>
      </c>
      <c r="O555" s="8">
        <f t="shared" si="35"/>
        <v>-24714</v>
      </c>
      <c r="Q555" s="8"/>
      <c r="R555" s="8"/>
    </row>
    <row r="556" spans="1:18">
      <c r="A556" s="4">
        <v>100773</v>
      </c>
      <c r="B556" s="1">
        <v>45560</v>
      </c>
      <c r="C556" s="1">
        <v>45301</v>
      </c>
      <c r="D556" t="s">
        <v>175</v>
      </c>
      <c r="E556" t="s">
        <v>103</v>
      </c>
      <c r="F556">
        <v>2</v>
      </c>
      <c r="G556">
        <v>728</v>
      </c>
      <c r="H556">
        <v>15</v>
      </c>
      <c r="I556" t="s">
        <v>32</v>
      </c>
      <c r="J556" t="s">
        <v>26</v>
      </c>
      <c r="K556" s="6">
        <f t="shared" si="32"/>
        <v>1456</v>
      </c>
      <c r="L556" s="6">
        <f t="shared" si="33"/>
        <v>-20384</v>
      </c>
      <c r="M556" s="6">
        <f>_xlfn.XLOOKUP(E556, Products!A:A, Products!E:E)</f>
        <v>185</v>
      </c>
      <c r="N556" s="6">
        <f t="shared" si="34"/>
        <v>370</v>
      </c>
      <c r="O556" s="8">
        <f t="shared" si="35"/>
        <v>-20754</v>
      </c>
      <c r="Q556" s="8"/>
      <c r="R556" s="8"/>
    </row>
    <row r="557" spans="1:18">
      <c r="A557" s="4">
        <v>100466</v>
      </c>
      <c r="B557" s="1">
        <v>45559</v>
      </c>
      <c r="C557" s="1">
        <v>45301</v>
      </c>
      <c r="D557" t="s">
        <v>351</v>
      </c>
      <c r="E557" t="s">
        <v>156</v>
      </c>
      <c r="F557">
        <v>2</v>
      </c>
      <c r="G557">
        <v>1920</v>
      </c>
      <c r="H557">
        <v>5</v>
      </c>
      <c r="I557" t="s">
        <v>32</v>
      </c>
      <c r="J557" t="s">
        <v>13</v>
      </c>
      <c r="K557" s="6">
        <f t="shared" si="32"/>
        <v>3840</v>
      </c>
      <c r="L557" s="6">
        <f t="shared" si="33"/>
        <v>-15360</v>
      </c>
      <c r="M557" s="6">
        <f>_xlfn.XLOOKUP(E557, Products!A:A, Products!E:E)</f>
        <v>168</v>
      </c>
      <c r="N557" s="6">
        <f t="shared" si="34"/>
        <v>336</v>
      </c>
      <c r="O557" s="8">
        <f t="shared" si="35"/>
        <v>-15696</v>
      </c>
      <c r="Q557" s="8"/>
      <c r="R557" s="8"/>
    </row>
    <row r="558" spans="1:18">
      <c r="A558" s="4">
        <v>100091</v>
      </c>
      <c r="B558" s="1">
        <v>45558</v>
      </c>
      <c r="C558" s="1">
        <v>45297</v>
      </c>
      <c r="D558" t="s">
        <v>154</v>
      </c>
      <c r="E558" t="s">
        <v>65</v>
      </c>
      <c r="F558">
        <v>2</v>
      </c>
      <c r="G558">
        <v>827</v>
      </c>
      <c r="H558">
        <v>10</v>
      </c>
      <c r="I558" t="s">
        <v>12</v>
      </c>
      <c r="J558" t="s">
        <v>16</v>
      </c>
      <c r="K558" s="6">
        <f t="shared" si="32"/>
        <v>1654</v>
      </c>
      <c r="L558" s="6">
        <f t="shared" si="33"/>
        <v>-14886</v>
      </c>
      <c r="M558" s="6">
        <f>_xlfn.XLOOKUP(E558, Products!A:A, Products!E:E)</f>
        <v>213</v>
      </c>
      <c r="N558" s="6">
        <f t="shared" si="34"/>
        <v>426</v>
      </c>
      <c r="O558" s="8">
        <f t="shared" si="35"/>
        <v>-15312</v>
      </c>
      <c r="Q558" s="8"/>
      <c r="R558" s="8"/>
    </row>
    <row r="559" spans="1:18">
      <c r="A559" s="4">
        <v>100778</v>
      </c>
      <c r="B559" s="1">
        <v>45558</v>
      </c>
      <c r="C559" s="1">
        <v>45299</v>
      </c>
      <c r="D559" t="s">
        <v>252</v>
      </c>
      <c r="E559" t="s">
        <v>83</v>
      </c>
      <c r="F559">
        <v>2</v>
      </c>
      <c r="G559">
        <v>587</v>
      </c>
      <c r="H559">
        <v>10</v>
      </c>
      <c r="I559" t="s">
        <v>29</v>
      </c>
      <c r="J559" t="s">
        <v>13</v>
      </c>
      <c r="K559" s="6">
        <f t="shared" si="32"/>
        <v>1174</v>
      </c>
      <c r="L559" s="6">
        <f t="shared" si="33"/>
        <v>-10566</v>
      </c>
      <c r="M559" s="6">
        <f>_xlfn.XLOOKUP(E559, Products!A:A, Products!E:E)</f>
        <v>243</v>
      </c>
      <c r="N559" s="6">
        <f t="shared" si="34"/>
        <v>486</v>
      </c>
      <c r="O559" s="8">
        <f t="shared" si="35"/>
        <v>-11052</v>
      </c>
      <c r="Q559" s="8"/>
      <c r="R559" s="8"/>
    </row>
    <row r="560" spans="1:18">
      <c r="A560" s="4">
        <v>100649</v>
      </c>
      <c r="B560" s="1">
        <v>45557</v>
      </c>
      <c r="C560" s="1">
        <v>45302</v>
      </c>
      <c r="D560" t="s">
        <v>381</v>
      </c>
      <c r="E560" t="s">
        <v>68</v>
      </c>
      <c r="F560">
        <v>2</v>
      </c>
      <c r="G560">
        <v>442</v>
      </c>
      <c r="H560">
        <v>5</v>
      </c>
      <c r="I560" t="s">
        <v>32</v>
      </c>
      <c r="J560" t="s">
        <v>13</v>
      </c>
      <c r="K560" s="6">
        <f t="shared" si="32"/>
        <v>884</v>
      </c>
      <c r="L560" s="6">
        <f t="shared" si="33"/>
        <v>-3536</v>
      </c>
      <c r="M560" s="6">
        <f>_xlfn.XLOOKUP(E560, Products!A:A, Products!E:E)</f>
        <v>295</v>
      </c>
      <c r="N560" s="6">
        <f t="shared" si="34"/>
        <v>590</v>
      </c>
      <c r="O560" s="8">
        <f t="shared" si="35"/>
        <v>-4126</v>
      </c>
      <c r="Q560" s="8"/>
      <c r="R560" s="8"/>
    </row>
    <row r="561" spans="1:18">
      <c r="A561" s="4">
        <v>100744</v>
      </c>
      <c r="B561" s="1">
        <v>45556</v>
      </c>
      <c r="C561" s="1">
        <v>45296</v>
      </c>
      <c r="D561" t="s">
        <v>248</v>
      </c>
      <c r="E561" t="s">
        <v>210</v>
      </c>
      <c r="F561">
        <v>2</v>
      </c>
      <c r="G561">
        <v>681</v>
      </c>
      <c r="H561">
        <v>5</v>
      </c>
      <c r="I561" t="s">
        <v>29</v>
      </c>
      <c r="J561" t="s">
        <v>13</v>
      </c>
      <c r="K561" s="6">
        <f t="shared" si="32"/>
        <v>1362</v>
      </c>
      <c r="L561" s="6">
        <f t="shared" si="33"/>
        <v>-5448</v>
      </c>
      <c r="M561" s="6">
        <f>_xlfn.XLOOKUP(E561, Products!A:A, Products!E:E)</f>
        <v>135</v>
      </c>
      <c r="N561" s="6">
        <f t="shared" si="34"/>
        <v>270</v>
      </c>
      <c r="O561" s="8">
        <f t="shared" si="35"/>
        <v>-5718</v>
      </c>
      <c r="Q561" s="8"/>
      <c r="R561" s="8"/>
    </row>
    <row r="562" spans="1:18">
      <c r="A562" s="4">
        <v>100208</v>
      </c>
      <c r="B562" s="1">
        <v>45556</v>
      </c>
      <c r="C562" s="1">
        <v>45299</v>
      </c>
      <c r="D562" t="s">
        <v>251</v>
      </c>
      <c r="E562" t="s">
        <v>95</v>
      </c>
      <c r="F562">
        <v>2</v>
      </c>
      <c r="G562">
        <v>435</v>
      </c>
      <c r="H562">
        <v>10</v>
      </c>
      <c r="I562" t="s">
        <v>29</v>
      </c>
      <c r="J562" t="s">
        <v>13</v>
      </c>
      <c r="K562" s="6">
        <f t="shared" si="32"/>
        <v>870</v>
      </c>
      <c r="L562" s="6">
        <f t="shared" si="33"/>
        <v>-7830</v>
      </c>
      <c r="M562" s="6">
        <f>_xlfn.XLOOKUP(E562, Products!A:A, Products!E:E)</f>
        <v>113</v>
      </c>
      <c r="N562" s="6">
        <f t="shared" si="34"/>
        <v>226</v>
      </c>
      <c r="O562" s="8">
        <f t="shared" si="35"/>
        <v>-8056</v>
      </c>
      <c r="Q562" s="8"/>
      <c r="R562" s="8"/>
    </row>
    <row r="563" spans="1:18">
      <c r="A563" s="4">
        <v>100330</v>
      </c>
      <c r="B563" s="1">
        <v>45553</v>
      </c>
      <c r="C563" s="1">
        <v>45301</v>
      </c>
      <c r="D563" t="s">
        <v>309</v>
      </c>
      <c r="E563" t="s">
        <v>18</v>
      </c>
      <c r="F563">
        <v>2</v>
      </c>
      <c r="G563">
        <v>1520</v>
      </c>
      <c r="H563">
        <v>5</v>
      </c>
      <c r="I563" t="s">
        <v>32</v>
      </c>
      <c r="J563" t="s">
        <v>13</v>
      </c>
      <c r="K563" s="6">
        <f t="shared" si="32"/>
        <v>3040</v>
      </c>
      <c r="L563" s="6">
        <f t="shared" si="33"/>
        <v>-12160</v>
      </c>
      <c r="M563" s="6">
        <f>_xlfn.XLOOKUP(E563, Products!A:A, Products!E:E)</f>
        <v>222</v>
      </c>
      <c r="N563" s="6">
        <f t="shared" si="34"/>
        <v>444</v>
      </c>
      <c r="O563" s="8">
        <f t="shared" si="35"/>
        <v>-12604</v>
      </c>
      <c r="Q563" s="8"/>
      <c r="R563" s="8"/>
    </row>
    <row r="564" spans="1:18">
      <c r="A564" s="4">
        <v>100888</v>
      </c>
      <c r="B564" s="1">
        <v>45552</v>
      </c>
      <c r="C564" s="1">
        <v>45295</v>
      </c>
      <c r="D564" t="s">
        <v>54</v>
      </c>
      <c r="E564" t="s">
        <v>247</v>
      </c>
      <c r="F564">
        <v>2</v>
      </c>
      <c r="G564">
        <v>954</v>
      </c>
      <c r="H564">
        <v>15</v>
      </c>
      <c r="I564" t="s">
        <v>29</v>
      </c>
      <c r="J564" t="s">
        <v>22</v>
      </c>
      <c r="K564" s="6">
        <f t="shared" si="32"/>
        <v>1908</v>
      </c>
      <c r="L564" s="6">
        <f t="shared" si="33"/>
        <v>-26712</v>
      </c>
      <c r="M564" s="6">
        <f>_xlfn.XLOOKUP(E564, Products!A:A, Products!E:E)</f>
        <v>70</v>
      </c>
      <c r="N564" s="6">
        <f t="shared" si="34"/>
        <v>140</v>
      </c>
      <c r="O564" s="8">
        <f t="shared" si="35"/>
        <v>-26852</v>
      </c>
      <c r="Q564" s="8"/>
      <c r="R564" s="8"/>
    </row>
    <row r="565" spans="1:18">
      <c r="A565" s="4">
        <v>100081</v>
      </c>
      <c r="B565" s="1">
        <v>45549</v>
      </c>
      <c r="C565" s="1">
        <v>45297</v>
      </c>
      <c r="D565" t="s">
        <v>146</v>
      </c>
      <c r="E565" t="s">
        <v>77</v>
      </c>
      <c r="F565">
        <v>2</v>
      </c>
      <c r="G565">
        <v>1061</v>
      </c>
      <c r="H565">
        <v>0</v>
      </c>
      <c r="I565" t="s">
        <v>12</v>
      </c>
      <c r="J565" t="s">
        <v>13</v>
      </c>
      <c r="K565" s="6">
        <f t="shared" si="32"/>
        <v>2122</v>
      </c>
      <c r="L565" s="6">
        <f t="shared" si="33"/>
        <v>2122</v>
      </c>
      <c r="M565" s="6">
        <f>_xlfn.XLOOKUP(E565, Products!A:A, Products!E:E)</f>
        <v>94</v>
      </c>
      <c r="N565" s="6">
        <f t="shared" si="34"/>
        <v>188</v>
      </c>
      <c r="O565" s="8">
        <f t="shared" si="35"/>
        <v>1934</v>
      </c>
      <c r="Q565" s="8"/>
      <c r="R565" s="8"/>
    </row>
    <row r="566" spans="1:18">
      <c r="A566" s="4">
        <v>100958</v>
      </c>
      <c r="B566" s="1">
        <v>45549</v>
      </c>
      <c r="C566" s="1">
        <v>45300</v>
      </c>
      <c r="D566" t="s">
        <v>283</v>
      </c>
      <c r="E566" t="s">
        <v>95</v>
      </c>
      <c r="F566">
        <v>2</v>
      </c>
      <c r="G566">
        <v>1330</v>
      </c>
      <c r="H566">
        <v>15</v>
      </c>
      <c r="I566" t="s">
        <v>19</v>
      </c>
      <c r="J566" t="s">
        <v>13</v>
      </c>
      <c r="K566" s="6">
        <f t="shared" si="32"/>
        <v>2660</v>
      </c>
      <c r="L566" s="6">
        <f t="shared" si="33"/>
        <v>-37240</v>
      </c>
      <c r="M566" s="6">
        <f>_xlfn.XLOOKUP(E566, Products!A:A, Products!E:E)</f>
        <v>113</v>
      </c>
      <c r="N566" s="6">
        <f t="shared" si="34"/>
        <v>226</v>
      </c>
      <c r="O566" s="8">
        <f t="shared" si="35"/>
        <v>-37466</v>
      </c>
      <c r="Q566" s="8"/>
      <c r="R566" s="8"/>
    </row>
    <row r="567" spans="1:18">
      <c r="A567" s="4">
        <v>100517</v>
      </c>
      <c r="B567" s="1">
        <v>45545</v>
      </c>
      <c r="C567" s="1">
        <v>45296</v>
      </c>
      <c r="D567" t="s">
        <v>81</v>
      </c>
      <c r="E567" t="s">
        <v>167</v>
      </c>
      <c r="F567">
        <v>2</v>
      </c>
      <c r="G567">
        <v>1580</v>
      </c>
      <c r="H567">
        <v>5</v>
      </c>
      <c r="I567" t="s">
        <v>29</v>
      </c>
      <c r="J567" t="s">
        <v>22</v>
      </c>
      <c r="K567" s="6">
        <f t="shared" si="32"/>
        <v>3160</v>
      </c>
      <c r="L567" s="6">
        <f t="shared" si="33"/>
        <v>-12640</v>
      </c>
      <c r="M567" s="6">
        <f>_xlfn.XLOOKUP(E567, Products!A:A, Products!E:E)</f>
        <v>181</v>
      </c>
      <c r="N567" s="6">
        <f t="shared" si="34"/>
        <v>362</v>
      </c>
      <c r="O567" s="8">
        <f t="shared" si="35"/>
        <v>-13002</v>
      </c>
      <c r="Q567" s="8"/>
      <c r="R567" s="8"/>
    </row>
    <row r="568" spans="1:18">
      <c r="A568" s="4">
        <v>100718</v>
      </c>
      <c r="B568" s="1">
        <v>45543</v>
      </c>
      <c r="C568" s="1">
        <v>45294</v>
      </c>
      <c r="D568" t="s">
        <v>286</v>
      </c>
      <c r="E568" t="s">
        <v>97</v>
      </c>
      <c r="F568">
        <v>2</v>
      </c>
      <c r="G568">
        <v>1674</v>
      </c>
      <c r="H568">
        <v>5</v>
      </c>
      <c r="I568" t="s">
        <v>32</v>
      </c>
      <c r="J568" t="s">
        <v>26</v>
      </c>
      <c r="K568" s="6">
        <f t="shared" si="32"/>
        <v>3348</v>
      </c>
      <c r="L568" s="6">
        <f t="shared" si="33"/>
        <v>-13392</v>
      </c>
      <c r="M568" s="6">
        <f>_xlfn.XLOOKUP(E568, Products!A:A, Products!E:E)</f>
        <v>229</v>
      </c>
      <c r="N568" s="6">
        <f t="shared" si="34"/>
        <v>458</v>
      </c>
      <c r="O568" s="8">
        <f t="shared" si="35"/>
        <v>-13850</v>
      </c>
      <c r="Q568" s="8"/>
      <c r="R568" s="8"/>
    </row>
    <row r="569" spans="1:18">
      <c r="A569" s="4">
        <v>100886</v>
      </c>
      <c r="B569" s="1">
        <v>45540</v>
      </c>
      <c r="C569" s="1">
        <v>45301</v>
      </c>
      <c r="D569" t="s">
        <v>148</v>
      </c>
      <c r="E569" t="s">
        <v>269</v>
      </c>
      <c r="F569">
        <v>2</v>
      </c>
      <c r="G569">
        <v>315</v>
      </c>
      <c r="H569">
        <v>0</v>
      </c>
      <c r="I569" t="s">
        <v>12</v>
      </c>
      <c r="J569" t="s">
        <v>26</v>
      </c>
      <c r="K569" s="6">
        <f t="shared" si="32"/>
        <v>630</v>
      </c>
      <c r="L569" s="6">
        <f t="shared" si="33"/>
        <v>630</v>
      </c>
      <c r="M569" s="6">
        <f>_xlfn.XLOOKUP(E569, Products!A:A, Products!E:E)</f>
        <v>128</v>
      </c>
      <c r="N569" s="6">
        <f t="shared" si="34"/>
        <v>256</v>
      </c>
      <c r="O569" s="8">
        <f t="shared" si="35"/>
        <v>374</v>
      </c>
      <c r="Q569" s="8"/>
      <c r="R569" s="8"/>
    </row>
    <row r="570" spans="1:18">
      <c r="A570" s="4">
        <v>100604</v>
      </c>
      <c r="B570" s="1">
        <v>45539</v>
      </c>
      <c r="C570" s="1">
        <v>45300</v>
      </c>
      <c r="D570" t="s">
        <v>25</v>
      </c>
      <c r="E570" t="s">
        <v>48</v>
      </c>
      <c r="F570">
        <v>2</v>
      </c>
      <c r="G570">
        <v>1059</v>
      </c>
      <c r="H570">
        <v>15</v>
      </c>
      <c r="I570" t="s">
        <v>32</v>
      </c>
      <c r="J570" t="s">
        <v>16</v>
      </c>
      <c r="K570" s="6">
        <f t="shared" si="32"/>
        <v>2118</v>
      </c>
      <c r="L570" s="6">
        <f t="shared" si="33"/>
        <v>-29652</v>
      </c>
      <c r="M570" s="6">
        <f>_xlfn.XLOOKUP(E570, Products!A:A, Products!E:E)</f>
        <v>179</v>
      </c>
      <c r="N570" s="6">
        <f t="shared" si="34"/>
        <v>358</v>
      </c>
      <c r="O570" s="8">
        <f t="shared" si="35"/>
        <v>-30010</v>
      </c>
      <c r="Q570" s="8"/>
      <c r="R570" s="8"/>
    </row>
    <row r="571" spans="1:18">
      <c r="A571" s="4">
        <v>100599</v>
      </c>
      <c r="B571" s="1">
        <v>45536</v>
      </c>
      <c r="C571" s="1">
        <v>45302</v>
      </c>
      <c r="D571" t="s">
        <v>49</v>
      </c>
      <c r="E571" t="s">
        <v>34</v>
      </c>
      <c r="F571">
        <v>2</v>
      </c>
      <c r="G571">
        <v>1939</v>
      </c>
      <c r="H571">
        <v>10</v>
      </c>
      <c r="I571" t="s">
        <v>32</v>
      </c>
      <c r="J571" t="s">
        <v>22</v>
      </c>
      <c r="K571" s="6">
        <f t="shared" si="32"/>
        <v>3878</v>
      </c>
      <c r="L571" s="6">
        <f t="shared" si="33"/>
        <v>-34902</v>
      </c>
      <c r="M571" s="6">
        <f>_xlfn.XLOOKUP(E571, Products!A:A, Products!E:E)</f>
        <v>187</v>
      </c>
      <c r="N571" s="6">
        <f t="shared" si="34"/>
        <v>374</v>
      </c>
      <c r="O571" s="8">
        <f t="shared" si="35"/>
        <v>-35276</v>
      </c>
      <c r="Q571" s="8"/>
      <c r="R571" s="8"/>
    </row>
    <row r="572" spans="1:18">
      <c r="A572" s="4">
        <v>100446</v>
      </c>
      <c r="B572" s="1">
        <v>45536</v>
      </c>
      <c r="C572" s="1">
        <v>45296</v>
      </c>
      <c r="D572" t="s">
        <v>351</v>
      </c>
      <c r="E572" t="s">
        <v>302</v>
      </c>
      <c r="F572">
        <v>2</v>
      </c>
      <c r="G572">
        <v>490</v>
      </c>
      <c r="H572">
        <v>0</v>
      </c>
      <c r="I572" t="s">
        <v>19</v>
      </c>
      <c r="J572" t="s">
        <v>16</v>
      </c>
      <c r="K572" s="6">
        <f t="shared" si="32"/>
        <v>980</v>
      </c>
      <c r="L572" s="6">
        <f t="shared" si="33"/>
        <v>980</v>
      </c>
      <c r="M572" s="6">
        <f>_xlfn.XLOOKUP(E572, Products!A:A, Products!E:E)</f>
        <v>175</v>
      </c>
      <c r="N572" s="6">
        <f t="shared" si="34"/>
        <v>350</v>
      </c>
      <c r="O572" s="8">
        <f t="shared" si="35"/>
        <v>630</v>
      </c>
      <c r="Q572" s="8"/>
      <c r="R572" s="8"/>
    </row>
    <row r="573" spans="1:18">
      <c r="A573" s="4">
        <v>100180</v>
      </c>
      <c r="B573" s="1">
        <v>45532</v>
      </c>
      <c r="C573" s="1">
        <v>45300</v>
      </c>
      <c r="D573" t="s">
        <v>231</v>
      </c>
      <c r="E573" t="s">
        <v>59</v>
      </c>
      <c r="F573">
        <v>2</v>
      </c>
      <c r="G573">
        <v>894</v>
      </c>
      <c r="H573">
        <v>15</v>
      </c>
      <c r="I573" t="s">
        <v>32</v>
      </c>
      <c r="J573" t="s">
        <v>16</v>
      </c>
      <c r="K573" s="6">
        <f t="shared" si="32"/>
        <v>1788</v>
      </c>
      <c r="L573" s="6">
        <f t="shared" si="33"/>
        <v>-25032</v>
      </c>
      <c r="M573" s="6">
        <f>_xlfn.XLOOKUP(E573, Products!A:A, Products!E:E)</f>
        <v>116</v>
      </c>
      <c r="N573" s="6">
        <f t="shared" si="34"/>
        <v>232</v>
      </c>
      <c r="O573" s="8">
        <f t="shared" si="35"/>
        <v>-25264</v>
      </c>
      <c r="Q573" s="8"/>
      <c r="R573" s="8"/>
    </row>
    <row r="574" spans="1:18">
      <c r="A574" s="4">
        <v>100739</v>
      </c>
      <c r="B574" s="1">
        <v>45532</v>
      </c>
      <c r="C574" s="1">
        <v>45301</v>
      </c>
      <c r="D574" t="s">
        <v>345</v>
      </c>
      <c r="E574" t="s">
        <v>242</v>
      </c>
      <c r="F574">
        <v>2</v>
      </c>
      <c r="G574">
        <v>793</v>
      </c>
      <c r="H574">
        <v>10</v>
      </c>
      <c r="I574" t="s">
        <v>29</v>
      </c>
      <c r="J574" t="s">
        <v>26</v>
      </c>
      <c r="K574" s="6">
        <f t="shared" si="32"/>
        <v>1586</v>
      </c>
      <c r="L574" s="6">
        <f t="shared" si="33"/>
        <v>-14274</v>
      </c>
      <c r="M574" s="6">
        <f>_xlfn.XLOOKUP(E574, Products!A:A, Products!E:E)</f>
        <v>140</v>
      </c>
      <c r="N574" s="6">
        <f t="shared" si="34"/>
        <v>280</v>
      </c>
      <c r="O574" s="8">
        <f t="shared" si="35"/>
        <v>-14554</v>
      </c>
      <c r="Q574" s="8"/>
      <c r="R574" s="8"/>
    </row>
    <row r="575" spans="1:18">
      <c r="A575" s="4">
        <v>100761</v>
      </c>
      <c r="B575" s="1">
        <v>45531</v>
      </c>
      <c r="C575" s="1">
        <v>45302</v>
      </c>
      <c r="D575" t="s">
        <v>168</v>
      </c>
      <c r="E575" t="s">
        <v>224</v>
      </c>
      <c r="F575">
        <v>2</v>
      </c>
      <c r="G575">
        <v>1283</v>
      </c>
      <c r="H575">
        <v>10</v>
      </c>
      <c r="I575" t="s">
        <v>29</v>
      </c>
      <c r="J575" t="s">
        <v>22</v>
      </c>
      <c r="K575" s="6">
        <f t="shared" si="32"/>
        <v>2566</v>
      </c>
      <c r="L575" s="6">
        <f t="shared" si="33"/>
        <v>-23094</v>
      </c>
      <c r="M575" s="6">
        <f>_xlfn.XLOOKUP(E575, Products!A:A, Products!E:E)</f>
        <v>118</v>
      </c>
      <c r="N575" s="6">
        <f t="shared" si="34"/>
        <v>236</v>
      </c>
      <c r="O575" s="8">
        <f t="shared" si="35"/>
        <v>-23330</v>
      </c>
      <c r="Q575" s="8"/>
      <c r="R575" s="8"/>
    </row>
    <row r="576" spans="1:18">
      <c r="A576" s="4">
        <v>100783</v>
      </c>
      <c r="B576" s="1">
        <v>45524</v>
      </c>
      <c r="C576" s="1">
        <v>45294</v>
      </c>
      <c r="D576" t="s">
        <v>218</v>
      </c>
      <c r="E576" t="s">
        <v>34</v>
      </c>
      <c r="F576">
        <v>2</v>
      </c>
      <c r="G576">
        <v>1121</v>
      </c>
      <c r="H576">
        <v>10</v>
      </c>
      <c r="I576" t="s">
        <v>29</v>
      </c>
      <c r="J576" t="s">
        <v>13</v>
      </c>
      <c r="K576" s="6">
        <f t="shared" si="32"/>
        <v>2242</v>
      </c>
      <c r="L576" s="6">
        <f t="shared" si="33"/>
        <v>-20178</v>
      </c>
      <c r="M576" s="6">
        <f>_xlfn.XLOOKUP(E576, Products!A:A, Products!E:E)</f>
        <v>187</v>
      </c>
      <c r="N576" s="6">
        <f t="shared" si="34"/>
        <v>374</v>
      </c>
      <c r="O576" s="8">
        <f t="shared" si="35"/>
        <v>-20552</v>
      </c>
      <c r="Q576" s="8"/>
      <c r="R576" s="8"/>
    </row>
    <row r="577" spans="1:18">
      <c r="A577" s="4">
        <v>100363</v>
      </c>
      <c r="B577" s="1">
        <v>45522</v>
      </c>
      <c r="C577" s="1">
        <v>45296</v>
      </c>
      <c r="D577" t="s">
        <v>310</v>
      </c>
      <c r="E577" t="s">
        <v>260</v>
      </c>
      <c r="F577">
        <v>2</v>
      </c>
      <c r="G577">
        <v>1143</v>
      </c>
      <c r="H577">
        <v>10</v>
      </c>
      <c r="I577" t="s">
        <v>19</v>
      </c>
      <c r="J577" t="s">
        <v>22</v>
      </c>
      <c r="K577" s="6">
        <f t="shared" si="32"/>
        <v>2286</v>
      </c>
      <c r="L577" s="6">
        <f t="shared" si="33"/>
        <v>-20574</v>
      </c>
      <c r="M577" s="6">
        <f>_xlfn.XLOOKUP(E577, Products!A:A, Products!E:E)</f>
        <v>222</v>
      </c>
      <c r="N577" s="6">
        <f t="shared" si="34"/>
        <v>444</v>
      </c>
      <c r="O577" s="8">
        <f t="shared" si="35"/>
        <v>-21018</v>
      </c>
      <c r="Q577" s="8"/>
      <c r="R577" s="8"/>
    </row>
    <row r="578" spans="1:18">
      <c r="A578" s="4">
        <v>100869</v>
      </c>
      <c r="B578" s="1">
        <v>45520</v>
      </c>
      <c r="C578" s="1">
        <v>45301</v>
      </c>
      <c r="D578" t="s">
        <v>162</v>
      </c>
      <c r="E578" t="s">
        <v>207</v>
      </c>
      <c r="F578">
        <v>2</v>
      </c>
      <c r="G578">
        <v>677</v>
      </c>
      <c r="H578">
        <v>0</v>
      </c>
      <c r="I578" t="s">
        <v>12</v>
      </c>
      <c r="J578" t="s">
        <v>16</v>
      </c>
      <c r="K578" s="6">
        <f t="shared" ref="K578:K641" si="36">F578*G578</f>
        <v>1354</v>
      </c>
      <c r="L578" s="6">
        <f t="shared" si="33"/>
        <v>1354</v>
      </c>
      <c r="M578" s="6">
        <f>_xlfn.XLOOKUP(E578, Products!A:A, Products!E:E)</f>
        <v>147</v>
      </c>
      <c r="N578" s="6">
        <f t="shared" si="34"/>
        <v>294</v>
      </c>
      <c r="O578" s="8">
        <f t="shared" si="35"/>
        <v>1060</v>
      </c>
      <c r="Q578" s="8"/>
      <c r="R578" s="8"/>
    </row>
    <row r="579" spans="1:18">
      <c r="A579" s="4">
        <v>100818</v>
      </c>
      <c r="B579" s="1">
        <v>45519</v>
      </c>
      <c r="C579" s="1">
        <v>45301</v>
      </c>
      <c r="D579" t="s">
        <v>397</v>
      </c>
      <c r="E579" t="s">
        <v>91</v>
      </c>
      <c r="F579">
        <v>2</v>
      </c>
      <c r="G579">
        <v>661</v>
      </c>
      <c r="H579">
        <v>15</v>
      </c>
      <c r="I579" t="s">
        <v>12</v>
      </c>
      <c r="J579" t="s">
        <v>26</v>
      </c>
      <c r="K579" s="6">
        <f t="shared" si="36"/>
        <v>1322</v>
      </c>
      <c r="L579" s="6">
        <f t="shared" ref="L579:L642" si="37">F579*G579*(1-H579)</f>
        <v>-18508</v>
      </c>
      <c r="M579" s="6">
        <f>_xlfn.XLOOKUP(E579, Products!A:A, Products!E:E)</f>
        <v>243</v>
      </c>
      <c r="N579" s="6">
        <f t="shared" ref="N579:N642" si="38">F579*M579</f>
        <v>486</v>
      </c>
      <c r="O579" s="8">
        <f t="shared" ref="O579:O642" si="39">L579-N579</f>
        <v>-18994</v>
      </c>
      <c r="Q579" s="8"/>
      <c r="R579" s="8"/>
    </row>
    <row r="580" spans="1:18">
      <c r="A580" s="4">
        <v>100340</v>
      </c>
      <c r="B580" s="1">
        <v>45518</v>
      </c>
      <c r="C580" s="1">
        <v>45296</v>
      </c>
      <c r="D580" t="s">
        <v>300</v>
      </c>
      <c r="E580" t="s">
        <v>247</v>
      </c>
      <c r="F580">
        <v>2</v>
      </c>
      <c r="G580">
        <v>862</v>
      </c>
      <c r="H580">
        <v>10</v>
      </c>
      <c r="I580" t="s">
        <v>32</v>
      </c>
      <c r="J580" t="s">
        <v>16</v>
      </c>
      <c r="K580" s="6">
        <f t="shared" si="36"/>
        <v>1724</v>
      </c>
      <c r="L580" s="6">
        <f t="shared" si="37"/>
        <v>-15516</v>
      </c>
      <c r="M580" s="6">
        <f>_xlfn.XLOOKUP(E580, Products!A:A, Products!E:E)</f>
        <v>70</v>
      </c>
      <c r="N580" s="6">
        <f t="shared" si="38"/>
        <v>140</v>
      </c>
      <c r="O580" s="8">
        <f t="shared" si="39"/>
        <v>-15656</v>
      </c>
      <c r="Q580" s="8"/>
      <c r="R580" s="8"/>
    </row>
    <row r="581" spans="1:18">
      <c r="A581" s="4">
        <v>100785</v>
      </c>
      <c r="B581" s="1">
        <v>45517</v>
      </c>
      <c r="C581" s="1">
        <v>45298</v>
      </c>
      <c r="D581" t="s">
        <v>327</v>
      </c>
      <c r="E581" t="s">
        <v>265</v>
      </c>
      <c r="F581">
        <v>2</v>
      </c>
      <c r="G581">
        <v>311</v>
      </c>
      <c r="H581">
        <v>15</v>
      </c>
      <c r="I581" t="s">
        <v>12</v>
      </c>
      <c r="J581" t="s">
        <v>13</v>
      </c>
      <c r="K581" s="6">
        <f t="shared" si="36"/>
        <v>622</v>
      </c>
      <c r="L581" s="6">
        <f t="shared" si="37"/>
        <v>-8708</v>
      </c>
      <c r="M581" s="6">
        <f>_xlfn.XLOOKUP(E581, Products!A:A, Products!E:E)</f>
        <v>218</v>
      </c>
      <c r="N581" s="6">
        <f t="shared" si="38"/>
        <v>436</v>
      </c>
      <c r="O581" s="8">
        <f t="shared" si="39"/>
        <v>-9144</v>
      </c>
      <c r="Q581" s="8"/>
      <c r="R581" s="8"/>
    </row>
    <row r="582" spans="1:18">
      <c r="A582" s="4">
        <v>100569</v>
      </c>
      <c r="B582" s="1">
        <v>45517</v>
      </c>
      <c r="C582" s="1">
        <v>45295</v>
      </c>
      <c r="D582" t="s">
        <v>275</v>
      </c>
      <c r="E582" t="s">
        <v>103</v>
      </c>
      <c r="F582">
        <v>2</v>
      </c>
      <c r="G582">
        <v>808</v>
      </c>
      <c r="H582">
        <v>15</v>
      </c>
      <c r="I582" t="s">
        <v>12</v>
      </c>
      <c r="J582" t="s">
        <v>16</v>
      </c>
      <c r="K582" s="6">
        <f t="shared" si="36"/>
        <v>1616</v>
      </c>
      <c r="L582" s="6">
        <f t="shared" si="37"/>
        <v>-22624</v>
      </c>
      <c r="M582" s="6">
        <f>_xlfn.XLOOKUP(E582, Products!A:A, Products!E:E)</f>
        <v>185</v>
      </c>
      <c r="N582" s="6">
        <f t="shared" si="38"/>
        <v>370</v>
      </c>
      <c r="O582" s="8">
        <f t="shared" si="39"/>
        <v>-22994</v>
      </c>
      <c r="Q582" s="8"/>
      <c r="R582" s="8"/>
    </row>
    <row r="583" spans="1:18">
      <c r="A583" s="4">
        <v>100691</v>
      </c>
      <c r="B583" s="1">
        <v>45516</v>
      </c>
      <c r="C583" s="1">
        <v>45297</v>
      </c>
      <c r="D583" t="s">
        <v>297</v>
      </c>
      <c r="E583" t="s">
        <v>15</v>
      </c>
      <c r="F583">
        <v>2</v>
      </c>
      <c r="G583">
        <v>725</v>
      </c>
      <c r="H583">
        <v>15</v>
      </c>
      <c r="I583" t="s">
        <v>12</v>
      </c>
      <c r="J583" t="s">
        <v>22</v>
      </c>
      <c r="K583" s="6">
        <f t="shared" si="36"/>
        <v>1450</v>
      </c>
      <c r="L583" s="6">
        <f t="shared" si="37"/>
        <v>-20300</v>
      </c>
      <c r="M583" s="6">
        <f>_xlfn.XLOOKUP(E583, Products!A:A, Products!E:E)</f>
        <v>242</v>
      </c>
      <c r="N583" s="6">
        <f t="shared" si="38"/>
        <v>484</v>
      </c>
      <c r="O583" s="8">
        <f t="shared" si="39"/>
        <v>-20784</v>
      </c>
      <c r="Q583" s="8"/>
      <c r="R583" s="8"/>
    </row>
    <row r="584" spans="1:18">
      <c r="A584" s="4">
        <v>100211</v>
      </c>
      <c r="B584" s="1">
        <v>45515</v>
      </c>
      <c r="C584" s="1">
        <v>45301</v>
      </c>
      <c r="D584" t="s">
        <v>122</v>
      </c>
      <c r="E584" t="s">
        <v>176</v>
      </c>
      <c r="F584">
        <v>2</v>
      </c>
      <c r="G584">
        <v>1667</v>
      </c>
      <c r="H584">
        <v>15</v>
      </c>
      <c r="I584" t="s">
        <v>12</v>
      </c>
      <c r="J584" t="s">
        <v>13</v>
      </c>
      <c r="K584" s="6">
        <f t="shared" si="36"/>
        <v>3334</v>
      </c>
      <c r="L584" s="6">
        <f t="shared" si="37"/>
        <v>-46676</v>
      </c>
      <c r="M584" s="6">
        <f>_xlfn.XLOOKUP(E584, Products!A:A, Products!E:E)</f>
        <v>61</v>
      </c>
      <c r="N584" s="6">
        <f t="shared" si="38"/>
        <v>122</v>
      </c>
      <c r="O584" s="8">
        <f t="shared" si="39"/>
        <v>-46798</v>
      </c>
      <c r="Q584" s="8"/>
      <c r="R584" s="8"/>
    </row>
    <row r="585" spans="1:18">
      <c r="A585" s="4">
        <v>100230</v>
      </c>
      <c r="B585" s="1">
        <v>45514</v>
      </c>
      <c r="C585" s="1">
        <v>45299</v>
      </c>
      <c r="D585" t="s">
        <v>261</v>
      </c>
      <c r="E585" t="s">
        <v>15</v>
      </c>
      <c r="F585">
        <v>2</v>
      </c>
      <c r="G585">
        <v>1752</v>
      </c>
      <c r="H585">
        <v>15</v>
      </c>
      <c r="I585" t="s">
        <v>29</v>
      </c>
      <c r="J585" t="s">
        <v>13</v>
      </c>
      <c r="K585" s="6">
        <f t="shared" si="36"/>
        <v>3504</v>
      </c>
      <c r="L585" s="6">
        <f t="shared" si="37"/>
        <v>-49056</v>
      </c>
      <c r="M585" s="6">
        <f>_xlfn.XLOOKUP(E585, Products!A:A, Products!E:E)</f>
        <v>242</v>
      </c>
      <c r="N585" s="6">
        <f t="shared" si="38"/>
        <v>484</v>
      </c>
      <c r="O585" s="8">
        <f t="shared" si="39"/>
        <v>-49540</v>
      </c>
      <c r="Q585" s="8"/>
      <c r="R585" s="8"/>
    </row>
    <row r="586" spans="1:18">
      <c r="A586" s="4">
        <v>100270</v>
      </c>
      <c r="B586" s="1">
        <v>45512</v>
      </c>
      <c r="C586" s="1">
        <v>45299</v>
      </c>
      <c r="D586" t="s">
        <v>219</v>
      </c>
      <c r="E586" t="s">
        <v>138</v>
      </c>
      <c r="F586">
        <v>2</v>
      </c>
      <c r="G586">
        <v>1088</v>
      </c>
      <c r="H586">
        <v>5</v>
      </c>
      <c r="I586" t="s">
        <v>32</v>
      </c>
      <c r="J586" t="s">
        <v>13</v>
      </c>
      <c r="K586" s="6">
        <f t="shared" si="36"/>
        <v>2176</v>
      </c>
      <c r="L586" s="6">
        <f t="shared" si="37"/>
        <v>-8704</v>
      </c>
      <c r="M586" s="6">
        <f>_xlfn.XLOOKUP(E586, Products!A:A, Products!E:E)</f>
        <v>186</v>
      </c>
      <c r="N586" s="6">
        <f t="shared" si="38"/>
        <v>372</v>
      </c>
      <c r="O586" s="8">
        <f t="shared" si="39"/>
        <v>-9076</v>
      </c>
      <c r="Q586" s="8"/>
      <c r="R586" s="8"/>
    </row>
    <row r="587" spans="1:18">
      <c r="A587" s="4">
        <v>100235</v>
      </c>
      <c r="B587" s="1">
        <v>45507</v>
      </c>
      <c r="C587" s="1">
        <v>45299</v>
      </c>
      <c r="D587" t="s">
        <v>266</v>
      </c>
      <c r="E587" t="s">
        <v>236</v>
      </c>
      <c r="F587">
        <v>2</v>
      </c>
      <c r="G587">
        <v>1792</v>
      </c>
      <c r="H587">
        <v>15</v>
      </c>
      <c r="I587" t="s">
        <v>29</v>
      </c>
      <c r="J587" t="s">
        <v>13</v>
      </c>
      <c r="K587" s="6">
        <f t="shared" si="36"/>
        <v>3584</v>
      </c>
      <c r="L587" s="6">
        <f t="shared" si="37"/>
        <v>-50176</v>
      </c>
      <c r="M587" s="6">
        <f>_xlfn.XLOOKUP(E587, Products!A:A, Products!E:E)</f>
        <v>120</v>
      </c>
      <c r="N587" s="6">
        <f t="shared" si="38"/>
        <v>240</v>
      </c>
      <c r="O587" s="8">
        <f t="shared" si="39"/>
        <v>-50416</v>
      </c>
      <c r="Q587" s="8"/>
      <c r="R587" s="8"/>
    </row>
    <row r="588" spans="1:18">
      <c r="A588" s="4">
        <v>100705</v>
      </c>
      <c r="B588" s="1">
        <v>45502</v>
      </c>
      <c r="C588" s="1">
        <v>45297</v>
      </c>
      <c r="D588" t="s">
        <v>163</v>
      </c>
      <c r="E588" t="s">
        <v>331</v>
      </c>
      <c r="F588">
        <v>2</v>
      </c>
      <c r="G588">
        <v>481</v>
      </c>
      <c r="H588">
        <v>5</v>
      </c>
      <c r="I588" t="s">
        <v>12</v>
      </c>
      <c r="J588" t="s">
        <v>26</v>
      </c>
      <c r="K588" s="6">
        <f t="shared" si="36"/>
        <v>962</v>
      </c>
      <c r="L588" s="6">
        <f t="shared" si="37"/>
        <v>-3848</v>
      </c>
      <c r="M588" s="6">
        <f>_xlfn.XLOOKUP(E588, Products!A:A, Products!E:E)</f>
        <v>128</v>
      </c>
      <c r="N588" s="6">
        <f t="shared" si="38"/>
        <v>256</v>
      </c>
      <c r="O588" s="8">
        <f t="shared" si="39"/>
        <v>-4104</v>
      </c>
      <c r="Q588" s="8"/>
      <c r="R588" s="8"/>
    </row>
    <row r="589" spans="1:18">
      <c r="A589" s="4">
        <v>100351</v>
      </c>
      <c r="B589" s="1">
        <v>45501</v>
      </c>
      <c r="C589" s="1">
        <v>45301</v>
      </c>
      <c r="D589" t="s">
        <v>150</v>
      </c>
      <c r="E589" t="s">
        <v>31</v>
      </c>
      <c r="F589">
        <v>2</v>
      </c>
      <c r="G589">
        <v>283</v>
      </c>
      <c r="H589">
        <v>5</v>
      </c>
      <c r="I589" t="s">
        <v>12</v>
      </c>
      <c r="J589" t="s">
        <v>26</v>
      </c>
      <c r="K589" s="6">
        <f t="shared" si="36"/>
        <v>566</v>
      </c>
      <c r="L589" s="6">
        <f t="shared" si="37"/>
        <v>-2264</v>
      </c>
      <c r="M589" s="6">
        <f>_xlfn.XLOOKUP(E589, Products!A:A, Products!E:E)</f>
        <v>187</v>
      </c>
      <c r="N589" s="6">
        <f t="shared" si="38"/>
        <v>374</v>
      </c>
      <c r="O589" s="8">
        <f t="shared" si="39"/>
        <v>-2638</v>
      </c>
      <c r="Q589" s="8"/>
      <c r="R589" s="8"/>
    </row>
    <row r="590" spans="1:18">
      <c r="A590" s="4">
        <v>100267</v>
      </c>
      <c r="B590" s="1">
        <v>45500</v>
      </c>
      <c r="C590" s="1">
        <v>45299</v>
      </c>
      <c r="D590" t="s">
        <v>193</v>
      </c>
      <c r="E590" t="s">
        <v>281</v>
      </c>
      <c r="F590">
        <v>2</v>
      </c>
      <c r="G590">
        <v>1305</v>
      </c>
      <c r="H590">
        <v>5</v>
      </c>
      <c r="I590" t="s">
        <v>12</v>
      </c>
      <c r="J590" t="s">
        <v>22</v>
      </c>
      <c r="K590" s="6">
        <f t="shared" si="36"/>
        <v>2610</v>
      </c>
      <c r="L590" s="6">
        <f t="shared" si="37"/>
        <v>-10440</v>
      </c>
      <c r="M590" s="6">
        <f>_xlfn.XLOOKUP(E590, Products!A:A, Products!E:E)</f>
        <v>117</v>
      </c>
      <c r="N590" s="6">
        <f t="shared" si="38"/>
        <v>234</v>
      </c>
      <c r="O590" s="8">
        <f t="shared" si="39"/>
        <v>-10674</v>
      </c>
      <c r="Q590" s="8"/>
      <c r="R590" s="8"/>
    </row>
    <row r="591" spans="1:18">
      <c r="A591" s="4">
        <v>100447</v>
      </c>
      <c r="B591" s="1">
        <v>45496</v>
      </c>
      <c r="C591" s="1">
        <v>45300</v>
      </c>
      <c r="D591" t="s">
        <v>174</v>
      </c>
      <c r="E591" t="s">
        <v>236</v>
      </c>
      <c r="F591">
        <v>2</v>
      </c>
      <c r="G591">
        <v>285</v>
      </c>
      <c r="H591">
        <v>10</v>
      </c>
      <c r="I591" t="s">
        <v>19</v>
      </c>
      <c r="J591" t="s">
        <v>16</v>
      </c>
      <c r="K591" s="6">
        <f t="shared" si="36"/>
        <v>570</v>
      </c>
      <c r="L591" s="6">
        <f t="shared" si="37"/>
        <v>-5130</v>
      </c>
      <c r="M591" s="6">
        <f>_xlfn.XLOOKUP(E591, Products!A:A, Products!E:E)</f>
        <v>120</v>
      </c>
      <c r="N591" s="6">
        <f t="shared" si="38"/>
        <v>240</v>
      </c>
      <c r="O591" s="8">
        <f t="shared" si="39"/>
        <v>-5370</v>
      </c>
      <c r="Q591" s="8"/>
      <c r="R591" s="8"/>
    </row>
    <row r="592" spans="1:18">
      <c r="A592" s="4">
        <v>100083</v>
      </c>
      <c r="B592" s="1">
        <v>45495</v>
      </c>
      <c r="C592" s="1">
        <v>45301</v>
      </c>
      <c r="D592" t="s">
        <v>148</v>
      </c>
      <c r="E592" t="s">
        <v>129</v>
      </c>
      <c r="F592">
        <v>2</v>
      </c>
      <c r="G592">
        <v>1684</v>
      </c>
      <c r="H592">
        <v>10</v>
      </c>
      <c r="I592" t="s">
        <v>32</v>
      </c>
      <c r="J592" t="s">
        <v>13</v>
      </c>
      <c r="K592" s="6">
        <f t="shared" si="36"/>
        <v>3368</v>
      </c>
      <c r="L592" s="6">
        <f t="shared" si="37"/>
        <v>-30312</v>
      </c>
      <c r="M592" s="6">
        <f>_xlfn.XLOOKUP(E592, Products!A:A, Products!E:E)</f>
        <v>171</v>
      </c>
      <c r="N592" s="6">
        <f t="shared" si="38"/>
        <v>342</v>
      </c>
      <c r="O592" s="8">
        <f t="shared" si="39"/>
        <v>-30654</v>
      </c>
      <c r="Q592" s="8"/>
      <c r="R592" s="8"/>
    </row>
    <row r="593" spans="1:18">
      <c r="A593" s="4">
        <v>100503</v>
      </c>
      <c r="B593" s="1">
        <v>45495</v>
      </c>
      <c r="C593" s="1">
        <v>45300</v>
      </c>
      <c r="D593" t="s">
        <v>111</v>
      </c>
      <c r="E593" t="s">
        <v>247</v>
      </c>
      <c r="F593">
        <v>2</v>
      </c>
      <c r="G593">
        <v>545</v>
      </c>
      <c r="H593">
        <v>5</v>
      </c>
      <c r="I593" t="s">
        <v>12</v>
      </c>
      <c r="J593" t="s">
        <v>26</v>
      </c>
      <c r="K593" s="6">
        <f t="shared" si="36"/>
        <v>1090</v>
      </c>
      <c r="L593" s="6">
        <f t="shared" si="37"/>
        <v>-4360</v>
      </c>
      <c r="M593" s="6">
        <f>_xlfn.XLOOKUP(E593, Products!A:A, Products!E:E)</f>
        <v>70</v>
      </c>
      <c r="N593" s="6">
        <f t="shared" si="38"/>
        <v>140</v>
      </c>
      <c r="O593" s="8">
        <f t="shared" si="39"/>
        <v>-4500</v>
      </c>
      <c r="Q593" s="8"/>
      <c r="R593" s="8"/>
    </row>
    <row r="594" spans="1:18">
      <c r="A594" s="4">
        <v>100088</v>
      </c>
      <c r="B594" s="1">
        <v>45493</v>
      </c>
      <c r="C594" s="1">
        <v>45295</v>
      </c>
      <c r="D594" t="s">
        <v>58</v>
      </c>
      <c r="E594" t="s">
        <v>71</v>
      </c>
      <c r="F594">
        <v>2</v>
      </c>
      <c r="G594">
        <v>1799</v>
      </c>
      <c r="H594">
        <v>10</v>
      </c>
      <c r="I594" t="s">
        <v>12</v>
      </c>
      <c r="J594" t="s">
        <v>26</v>
      </c>
      <c r="K594" s="6">
        <f t="shared" si="36"/>
        <v>3598</v>
      </c>
      <c r="L594" s="6">
        <f t="shared" si="37"/>
        <v>-32382</v>
      </c>
      <c r="M594" s="6">
        <f>_xlfn.XLOOKUP(E594, Products!A:A, Products!E:E)</f>
        <v>126</v>
      </c>
      <c r="N594" s="6">
        <f t="shared" si="38"/>
        <v>252</v>
      </c>
      <c r="O594" s="8">
        <f t="shared" si="39"/>
        <v>-32634</v>
      </c>
      <c r="Q594" s="8"/>
      <c r="R594" s="8"/>
    </row>
    <row r="595" spans="1:18">
      <c r="A595" s="4">
        <v>100032</v>
      </c>
      <c r="B595" s="1">
        <v>45489</v>
      </c>
      <c r="C595" s="1">
        <v>45299</v>
      </c>
      <c r="D595" t="s">
        <v>72</v>
      </c>
      <c r="E595" t="s">
        <v>73</v>
      </c>
      <c r="F595">
        <v>2</v>
      </c>
      <c r="G595">
        <v>795</v>
      </c>
      <c r="H595">
        <v>10</v>
      </c>
      <c r="I595" t="s">
        <v>29</v>
      </c>
      <c r="J595" t="s">
        <v>13</v>
      </c>
      <c r="K595" s="6">
        <f t="shared" si="36"/>
        <v>1590</v>
      </c>
      <c r="L595" s="6">
        <f t="shared" si="37"/>
        <v>-14310</v>
      </c>
      <c r="M595" s="6">
        <f>_xlfn.XLOOKUP(E595, Products!A:A, Products!E:E)</f>
        <v>243</v>
      </c>
      <c r="N595" s="6">
        <f t="shared" si="38"/>
        <v>486</v>
      </c>
      <c r="O595" s="8">
        <f t="shared" si="39"/>
        <v>-14796</v>
      </c>
      <c r="Q595" s="8"/>
      <c r="R595" s="8"/>
    </row>
    <row r="596" spans="1:18">
      <c r="A596" s="4">
        <v>100645</v>
      </c>
      <c r="B596" s="1">
        <v>45489</v>
      </c>
      <c r="C596" s="1">
        <v>45301</v>
      </c>
      <c r="D596" t="s">
        <v>168</v>
      </c>
      <c r="E596" t="s">
        <v>85</v>
      </c>
      <c r="F596">
        <v>2</v>
      </c>
      <c r="G596">
        <v>430</v>
      </c>
      <c r="H596">
        <v>0</v>
      </c>
      <c r="I596" t="s">
        <v>12</v>
      </c>
      <c r="J596" t="s">
        <v>22</v>
      </c>
      <c r="K596" s="6">
        <f t="shared" si="36"/>
        <v>860</v>
      </c>
      <c r="L596" s="6">
        <f t="shared" si="37"/>
        <v>860</v>
      </c>
      <c r="M596" s="6">
        <f>_xlfn.XLOOKUP(E596, Products!A:A, Products!E:E)</f>
        <v>148</v>
      </c>
      <c r="N596" s="6">
        <f t="shared" si="38"/>
        <v>296</v>
      </c>
      <c r="O596" s="8">
        <f t="shared" si="39"/>
        <v>564</v>
      </c>
      <c r="Q596" s="8"/>
      <c r="R596" s="8"/>
    </row>
    <row r="597" spans="1:18">
      <c r="A597" s="4">
        <v>100478</v>
      </c>
      <c r="B597" s="1">
        <v>45489</v>
      </c>
      <c r="C597" s="1">
        <v>45296</v>
      </c>
      <c r="D597" t="s">
        <v>303</v>
      </c>
      <c r="E597" t="s">
        <v>83</v>
      </c>
      <c r="F597">
        <v>2</v>
      </c>
      <c r="G597">
        <v>538</v>
      </c>
      <c r="H597">
        <v>0</v>
      </c>
      <c r="I597" t="s">
        <v>19</v>
      </c>
      <c r="J597" t="s">
        <v>13</v>
      </c>
      <c r="K597" s="6">
        <f t="shared" si="36"/>
        <v>1076</v>
      </c>
      <c r="L597" s="6">
        <f t="shared" si="37"/>
        <v>1076</v>
      </c>
      <c r="M597" s="6">
        <f>_xlfn.XLOOKUP(E597, Products!A:A, Products!E:E)</f>
        <v>243</v>
      </c>
      <c r="N597" s="6">
        <f t="shared" si="38"/>
        <v>486</v>
      </c>
      <c r="O597" s="8">
        <f t="shared" si="39"/>
        <v>590</v>
      </c>
      <c r="Q597" s="8"/>
      <c r="R597" s="8"/>
    </row>
    <row r="598" spans="1:18">
      <c r="A598" s="4">
        <v>100451</v>
      </c>
      <c r="B598" s="1">
        <v>45487</v>
      </c>
      <c r="C598" s="1">
        <v>45302</v>
      </c>
      <c r="D598" t="s">
        <v>257</v>
      </c>
      <c r="E598" t="s">
        <v>138</v>
      </c>
      <c r="F598">
        <v>2</v>
      </c>
      <c r="G598">
        <v>1456</v>
      </c>
      <c r="H598">
        <v>15</v>
      </c>
      <c r="I598" t="s">
        <v>19</v>
      </c>
      <c r="J598" t="s">
        <v>13</v>
      </c>
      <c r="K598" s="6">
        <f t="shared" si="36"/>
        <v>2912</v>
      </c>
      <c r="L598" s="6">
        <f t="shared" si="37"/>
        <v>-40768</v>
      </c>
      <c r="M598" s="6">
        <f>_xlfn.XLOOKUP(E598, Products!A:A, Products!E:E)</f>
        <v>186</v>
      </c>
      <c r="N598" s="6">
        <f t="shared" si="38"/>
        <v>372</v>
      </c>
      <c r="O598" s="8">
        <f t="shared" si="39"/>
        <v>-41140</v>
      </c>
      <c r="Q598" s="8"/>
      <c r="R598" s="8"/>
    </row>
    <row r="599" spans="1:18">
      <c r="A599" s="4">
        <v>100144</v>
      </c>
      <c r="B599" s="1">
        <v>45487</v>
      </c>
      <c r="C599" s="1">
        <v>45302</v>
      </c>
      <c r="D599" t="s">
        <v>196</v>
      </c>
      <c r="E599" t="s">
        <v>132</v>
      </c>
      <c r="F599">
        <v>2</v>
      </c>
      <c r="G599">
        <v>291</v>
      </c>
      <c r="H599">
        <v>5</v>
      </c>
      <c r="I599" t="s">
        <v>32</v>
      </c>
      <c r="J599" t="s">
        <v>26</v>
      </c>
      <c r="K599" s="6">
        <f t="shared" si="36"/>
        <v>582</v>
      </c>
      <c r="L599" s="6">
        <f t="shared" si="37"/>
        <v>-2328</v>
      </c>
      <c r="M599" s="6">
        <f>_xlfn.XLOOKUP(E599, Products!A:A, Products!E:E)</f>
        <v>138</v>
      </c>
      <c r="N599" s="6">
        <f t="shared" si="38"/>
        <v>276</v>
      </c>
      <c r="O599" s="8">
        <f t="shared" si="39"/>
        <v>-2604</v>
      </c>
      <c r="Q599" s="8"/>
      <c r="R599" s="8"/>
    </row>
    <row r="600" spans="1:18">
      <c r="A600" s="4">
        <v>100225</v>
      </c>
      <c r="B600" s="1">
        <v>45486</v>
      </c>
      <c r="C600" s="1">
        <v>45302</v>
      </c>
      <c r="D600" t="s">
        <v>191</v>
      </c>
      <c r="E600" t="s">
        <v>46</v>
      </c>
      <c r="F600">
        <v>2</v>
      </c>
      <c r="G600">
        <v>1224</v>
      </c>
      <c r="H600">
        <v>15</v>
      </c>
      <c r="I600" t="s">
        <v>29</v>
      </c>
      <c r="J600" t="s">
        <v>13</v>
      </c>
      <c r="K600" s="6">
        <f t="shared" si="36"/>
        <v>2448</v>
      </c>
      <c r="L600" s="6">
        <f t="shared" si="37"/>
        <v>-34272</v>
      </c>
      <c r="M600" s="6">
        <f>_xlfn.XLOOKUP(E600, Products!A:A, Products!E:E)</f>
        <v>191</v>
      </c>
      <c r="N600" s="6">
        <f t="shared" si="38"/>
        <v>382</v>
      </c>
      <c r="O600" s="8">
        <f t="shared" si="39"/>
        <v>-34654</v>
      </c>
      <c r="Q600" s="8"/>
      <c r="R600" s="8"/>
    </row>
    <row r="601" spans="1:18">
      <c r="A601" s="4">
        <v>100537</v>
      </c>
      <c r="B601" s="1">
        <v>45479</v>
      </c>
      <c r="C601" s="1">
        <v>45300</v>
      </c>
      <c r="D601" t="s">
        <v>343</v>
      </c>
      <c r="E601" t="s">
        <v>126</v>
      </c>
      <c r="F601">
        <v>2</v>
      </c>
      <c r="G601">
        <v>1902</v>
      </c>
      <c r="H601">
        <v>0</v>
      </c>
      <c r="I601" t="s">
        <v>29</v>
      </c>
      <c r="J601" t="s">
        <v>16</v>
      </c>
      <c r="K601" s="6">
        <f t="shared" si="36"/>
        <v>3804</v>
      </c>
      <c r="L601" s="6">
        <f t="shared" si="37"/>
        <v>3804</v>
      </c>
      <c r="M601" s="6">
        <f>_xlfn.XLOOKUP(E601, Products!A:A, Products!E:E)</f>
        <v>177</v>
      </c>
      <c r="N601" s="6">
        <f t="shared" si="38"/>
        <v>354</v>
      </c>
      <c r="O601" s="8">
        <f t="shared" si="39"/>
        <v>3450</v>
      </c>
      <c r="Q601" s="8"/>
      <c r="R601" s="8"/>
    </row>
    <row r="602" spans="1:18">
      <c r="A602" s="4">
        <v>100444</v>
      </c>
      <c r="B602" s="1">
        <v>45477</v>
      </c>
      <c r="C602" s="1">
        <v>45297</v>
      </c>
      <c r="D602" t="s">
        <v>312</v>
      </c>
      <c r="E602" t="s">
        <v>44</v>
      </c>
      <c r="F602">
        <v>2</v>
      </c>
      <c r="G602">
        <v>1559</v>
      </c>
      <c r="H602">
        <v>0</v>
      </c>
      <c r="I602" t="s">
        <v>12</v>
      </c>
      <c r="J602" t="s">
        <v>16</v>
      </c>
      <c r="K602" s="6">
        <f t="shared" si="36"/>
        <v>3118</v>
      </c>
      <c r="L602" s="6">
        <f t="shared" si="37"/>
        <v>3118</v>
      </c>
      <c r="M602" s="6">
        <f>_xlfn.XLOOKUP(E602, Products!A:A, Products!E:E)</f>
        <v>204</v>
      </c>
      <c r="N602" s="6">
        <f t="shared" si="38"/>
        <v>408</v>
      </c>
      <c r="O602" s="8">
        <f t="shared" si="39"/>
        <v>2710</v>
      </c>
      <c r="Q602" s="8"/>
      <c r="R602" s="8"/>
    </row>
    <row r="603" spans="1:18">
      <c r="A603" s="4">
        <v>100417</v>
      </c>
      <c r="B603" s="1">
        <v>45477</v>
      </c>
      <c r="C603" s="1">
        <v>45299</v>
      </c>
      <c r="D603" t="s">
        <v>54</v>
      </c>
      <c r="E603" t="s">
        <v>210</v>
      </c>
      <c r="F603">
        <v>2</v>
      </c>
      <c r="G603">
        <v>813</v>
      </c>
      <c r="H603">
        <v>15</v>
      </c>
      <c r="I603" t="s">
        <v>19</v>
      </c>
      <c r="J603" t="s">
        <v>13</v>
      </c>
      <c r="K603" s="6">
        <f t="shared" si="36"/>
        <v>1626</v>
      </c>
      <c r="L603" s="6">
        <f t="shared" si="37"/>
        <v>-22764</v>
      </c>
      <c r="M603" s="6">
        <f>_xlfn.XLOOKUP(E603, Products!A:A, Products!E:E)</f>
        <v>135</v>
      </c>
      <c r="N603" s="6">
        <f t="shared" si="38"/>
        <v>270</v>
      </c>
      <c r="O603" s="8">
        <f t="shared" si="39"/>
        <v>-23034</v>
      </c>
      <c r="Q603" s="8"/>
      <c r="R603" s="8"/>
    </row>
    <row r="604" spans="1:18">
      <c r="A604" s="4">
        <v>100228</v>
      </c>
      <c r="B604" s="1">
        <v>45477</v>
      </c>
      <c r="C604" s="1">
        <v>45301</v>
      </c>
      <c r="D604" t="s">
        <v>88</v>
      </c>
      <c r="E604" t="s">
        <v>118</v>
      </c>
      <c r="F604">
        <v>2</v>
      </c>
      <c r="G604">
        <v>1168</v>
      </c>
      <c r="H604">
        <v>0</v>
      </c>
      <c r="I604" t="s">
        <v>29</v>
      </c>
      <c r="J604" t="s">
        <v>16</v>
      </c>
      <c r="K604" s="6">
        <f t="shared" si="36"/>
        <v>2336</v>
      </c>
      <c r="L604" s="6">
        <f t="shared" si="37"/>
        <v>2336</v>
      </c>
      <c r="M604" s="6">
        <f>_xlfn.XLOOKUP(E604, Products!A:A, Products!E:E)</f>
        <v>115</v>
      </c>
      <c r="N604" s="6">
        <f t="shared" si="38"/>
        <v>230</v>
      </c>
      <c r="O604" s="8">
        <f t="shared" si="39"/>
        <v>2106</v>
      </c>
      <c r="Q604" s="8"/>
      <c r="R604" s="8"/>
    </row>
    <row r="605" spans="1:18">
      <c r="A605" s="4">
        <v>100543</v>
      </c>
      <c r="B605" s="1">
        <v>45476</v>
      </c>
      <c r="C605" s="1">
        <v>45295</v>
      </c>
      <c r="D605" t="s">
        <v>198</v>
      </c>
      <c r="E605" t="s">
        <v>118</v>
      </c>
      <c r="F605">
        <v>2</v>
      </c>
      <c r="G605">
        <v>1402</v>
      </c>
      <c r="H605">
        <v>0</v>
      </c>
      <c r="I605" t="s">
        <v>29</v>
      </c>
      <c r="J605" t="s">
        <v>22</v>
      </c>
      <c r="K605" s="6">
        <f t="shared" si="36"/>
        <v>2804</v>
      </c>
      <c r="L605" s="6">
        <f t="shared" si="37"/>
        <v>2804</v>
      </c>
      <c r="M605" s="6">
        <f>_xlfn.XLOOKUP(E605, Products!A:A, Products!E:E)</f>
        <v>115</v>
      </c>
      <c r="N605" s="6">
        <f t="shared" si="38"/>
        <v>230</v>
      </c>
      <c r="O605" s="8">
        <f t="shared" si="39"/>
        <v>2574</v>
      </c>
      <c r="Q605" s="8"/>
      <c r="R605" s="8"/>
    </row>
    <row r="606" spans="1:18">
      <c r="A606" s="4">
        <v>100590</v>
      </c>
      <c r="B606" s="1">
        <v>45470</v>
      </c>
      <c r="C606" s="1">
        <v>45298</v>
      </c>
      <c r="D606" t="s">
        <v>163</v>
      </c>
      <c r="E606" t="s">
        <v>91</v>
      </c>
      <c r="F606">
        <v>2</v>
      </c>
      <c r="G606">
        <v>1654</v>
      </c>
      <c r="H606">
        <v>0</v>
      </c>
      <c r="I606" t="s">
        <v>12</v>
      </c>
      <c r="J606" t="s">
        <v>13</v>
      </c>
      <c r="K606" s="6">
        <f t="shared" si="36"/>
        <v>3308</v>
      </c>
      <c r="L606" s="6">
        <f t="shared" si="37"/>
        <v>3308</v>
      </c>
      <c r="M606" s="6">
        <f>_xlfn.XLOOKUP(E606, Products!A:A, Products!E:E)</f>
        <v>243</v>
      </c>
      <c r="N606" s="6">
        <f t="shared" si="38"/>
        <v>486</v>
      </c>
      <c r="O606" s="8">
        <f t="shared" si="39"/>
        <v>2822</v>
      </c>
      <c r="Q606" s="8"/>
      <c r="R606" s="8"/>
    </row>
    <row r="607" spans="1:18">
      <c r="A607" s="4">
        <v>100341</v>
      </c>
      <c r="B607" s="1">
        <v>45470</v>
      </c>
      <c r="C607" s="1">
        <v>45300</v>
      </c>
      <c r="D607" t="s">
        <v>314</v>
      </c>
      <c r="E607" t="s">
        <v>156</v>
      </c>
      <c r="F607">
        <v>2</v>
      </c>
      <c r="G607">
        <v>1079</v>
      </c>
      <c r="H607">
        <v>5</v>
      </c>
      <c r="I607" t="s">
        <v>32</v>
      </c>
      <c r="J607" t="s">
        <v>22</v>
      </c>
      <c r="K607" s="6">
        <f t="shared" si="36"/>
        <v>2158</v>
      </c>
      <c r="L607" s="6">
        <f t="shared" si="37"/>
        <v>-8632</v>
      </c>
      <c r="M607" s="6">
        <f>_xlfn.XLOOKUP(E607, Products!A:A, Products!E:E)</f>
        <v>168</v>
      </c>
      <c r="N607" s="6">
        <f t="shared" si="38"/>
        <v>336</v>
      </c>
      <c r="O607" s="8">
        <f t="shared" si="39"/>
        <v>-8968</v>
      </c>
      <c r="Q607" s="8"/>
      <c r="R607" s="8"/>
    </row>
    <row r="608" spans="1:18">
      <c r="A608" s="4">
        <v>100473</v>
      </c>
      <c r="B608" s="1">
        <v>45465</v>
      </c>
      <c r="C608" s="1">
        <v>45294</v>
      </c>
      <c r="D608" t="s">
        <v>243</v>
      </c>
      <c r="E608" t="s">
        <v>41</v>
      </c>
      <c r="F608">
        <v>2</v>
      </c>
      <c r="G608">
        <v>1042</v>
      </c>
      <c r="H608">
        <v>10</v>
      </c>
      <c r="I608" t="s">
        <v>12</v>
      </c>
      <c r="J608" t="s">
        <v>13</v>
      </c>
      <c r="K608" s="6">
        <f t="shared" si="36"/>
        <v>2084</v>
      </c>
      <c r="L608" s="6">
        <f t="shared" si="37"/>
        <v>-18756</v>
      </c>
      <c r="M608" s="6">
        <f>_xlfn.XLOOKUP(E608, Products!A:A, Products!E:E)</f>
        <v>125</v>
      </c>
      <c r="N608" s="6">
        <f t="shared" si="38"/>
        <v>250</v>
      </c>
      <c r="O608" s="8">
        <f t="shared" si="39"/>
        <v>-19006</v>
      </c>
      <c r="Q608" s="8"/>
      <c r="R608" s="8"/>
    </row>
    <row r="609" spans="1:18">
      <c r="A609" s="4">
        <v>100573</v>
      </c>
      <c r="B609" s="1">
        <v>45464</v>
      </c>
      <c r="C609" s="1">
        <v>45296</v>
      </c>
      <c r="D609" t="s">
        <v>345</v>
      </c>
      <c r="E609" t="s">
        <v>165</v>
      </c>
      <c r="F609">
        <v>2</v>
      </c>
      <c r="G609">
        <v>856</v>
      </c>
      <c r="H609">
        <v>0</v>
      </c>
      <c r="I609" t="s">
        <v>12</v>
      </c>
      <c r="J609" t="s">
        <v>26</v>
      </c>
      <c r="K609" s="6">
        <f t="shared" si="36"/>
        <v>1712</v>
      </c>
      <c r="L609" s="6">
        <f t="shared" si="37"/>
        <v>1712</v>
      </c>
      <c r="M609" s="6">
        <f>_xlfn.XLOOKUP(E609, Products!A:A, Products!E:E)</f>
        <v>241</v>
      </c>
      <c r="N609" s="6">
        <f t="shared" si="38"/>
        <v>482</v>
      </c>
      <c r="O609" s="8">
        <f t="shared" si="39"/>
        <v>1230</v>
      </c>
      <c r="Q609" s="8"/>
      <c r="R609" s="8"/>
    </row>
    <row r="610" spans="1:18">
      <c r="A610" s="4">
        <v>100524</v>
      </c>
      <c r="B610" s="1">
        <v>45464</v>
      </c>
      <c r="C610" s="1">
        <v>45301</v>
      </c>
      <c r="D610" t="s">
        <v>330</v>
      </c>
      <c r="E610" t="s">
        <v>39</v>
      </c>
      <c r="F610">
        <v>2</v>
      </c>
      <c r="G610">
        <v>1251</v>
      </c>
      <c r="H610">
        <v>10</v>
      </c>
      <c r="I610" t="s">
        <v>32</v>
      </c>
      <c r="J610" t="s">
        <v>26</v>
      </c>
      <c r="K610" s="6">
        <f t="shared" si="36"/>
        <v>2502</v>
      </c>
      <c r="L610" s="6">
        <f t="shared" si="37"/>
        <v>-22518</v>
      </c>
      <c r="M610" s="6">
        <f>_xlfn.XLOOKUP(E610, Products!A:A, Products!E:E)</f>
        <v>238</v>
      </c>
      <c r="N610" s="6">
        <f t="shared" si="38"/>
        <v>476</v>
      </c>
      <c r="O610" s="8">
        <f t="shared" si="39"/>
        <v>-22994</v>
      </c>
      <c r="Q610" s="8"/>
      <c r="R610" s="8"/>
    </row>
    <row r="611" spans="1:18">
      <c r="A611" s="4">
        <v>100640</v>
      </c>
      <c r="B611" s="1">
        <v>45463</v>
      </c>
      <c r="C611" s="1">
        <v>45294</v>
      </c>
      <c r="D611" t="s">
        <v>225</v>
      </c>
      <c r="E611" t="s">
        <v>123</v>
      </c>
      <c r="F611">
        <v>2</v>
      </c>
      <c r="G611">
        <v>1601</v>
      </c>
      <c r="H611">
        <v>0</v>
      </c>
      <c r="I611" t="s">
        <v>32</v>
      </c>
      <c r="J611" t="s">
        <v>16</v>
      </c>
      <c r="K611" s="6">
        <f t="shared" si="36"/>
        <v>3202</v>
      </c>
      <c r="L611" s="6">
        <f t="shared" si="37"/>
        <v>3202</v>
      </c>
      <c r="M611" s="6">
        <f>_xlfn.XLOOKUP(E611, Products!A:A, Products!E:E)</f>
        <v>154</v>
      </c>
      <c r="N611" s="6">
        <f t="shared" si="38"/>
        <v>308</v>
      </c>
      <c r="O611" s="8">
        <f t="shared" si="39"/>
        <v>2894</v>
      </c>
      <c r="Q611" s="8"/>
      <c r="R611" s="8"/>
    </row>
    <row r="612" spans="1:18">
      <c r="A612" s="4">
        <v>100990</v>
      </c>
      <c r="B612" s="1">
        <v>45463</v>
      </c>
      <c r="C612" s="1">
        <v>45296</v>
      </c>
      <c r="D612" t="s">
        <v>408</v>
      </c>
      <c r="E612" t="s">
        <v>93</v>
      </c>
      <c r="F612">
        <v>2</v>
      </c>
      <c r="G612">
        <v>1730</v>
      </c>
      <c r="H612">
        <v>15</v>
      </c>
      <c r="I612" t="s">
        <v>32</v>
      </c>
      <c r="J612" t="s">
        <v>16</v>
      </c>
      <c r="K612" s="6">
        <f t="shared" si="36"/>
        <v>3460</v>
      </c>
      <c r="L612" s="6">
        <f t="shared" si="37"/>
        <v>-48440</v>
      </c>
      <c r="M612" s="6">
        <f>_xlfn.XLOOKUP(E612, Products!A:A, Products!E:E)</f>
        <v>222</v>
      </c>
      <c r="N612" s="6">
        <f t="shared" si="38"/>
        <v>444</v>
      </c>
      <c r="O612" s="8">
        <f t="shared" si="39"/>
        <v>-48884</v>
      </c>
      <c r="Q612" s="8"/>
      <c r="R612" s="8"/>
    </row>
    <row r="613" spans="1:18">
      <c r="A613" s="4">
        <v>100242</v>
      </c>
      <c r="B613" s="1">
        <v>45463</v>
      </c>
      <c r="C613" s="1">
        <v>45302</v>
      </c>
      <c r="D613" t="s">
        <v>270</v>
      </c>
      <c r="E613" t="s">
        <v>152</v>
      </c>
      <c r="F613">
        <v>2</v>
      </c>
      <c r="G613">
        <v>1296</v>
      </c>
      <c r="H613">
        <v>10</v>
      </c>
      <c r="I613" t="s">
        <v>12</v>
      </c>
      <c r="J613" t="s">
        <v>16</v>
      </c>
      <c r="K613" s="6">
        <f t="shared" si="36"/>
        <v>2592</v>
      </c>
      <c r="L613" s="6">
        <f t="shared" si="37"/>
        <v>-23328</v>
      </c>
      <c r="M613" s="6">
        <f>_xlfn.XLOOKUP(E613, Products!A:A, Products!E:E)</f>
        <v>272</v>
      </c>
      <c r="N613" s="6">
        <f t="shared" si="38"/>
        <v>544</v>
      </c>
      <c r="O613" s="8">
        <f t="shared" si="39"/>
        <v>-23872</v>
      </c>
      <c r="Q613" s="8"/>
      <c r="R613" s="8"/>
    </row>
    <row r="614" spans="1:18">
      <c r="A614" s="4">
        <v>100329</v>
      </c>
      <c r="B614" s="1">
        <v>45462</v>
      </c>
      <c r="C614" s="1">
        <v>45300</v>
      </c>
      <c r="D614" t="s">
        <v>72</v>
      </c>
      <c r="E614" t="s">
        <v>37</v>
      </c>
      <c r="F614">
        <v>2</v>
      </c>
      <c r="G614">
        <v>210</v>
      </c>
      <c r="H614">
        <v>10</v>
      </c>
      <c r="I614" t="s">
        <v>12</v>
      </c>
      <c r="J614" t="s">
        <v>16</v>
      </c>
      <c r="K614" s="6">
        <f t="shared" si="36"/>
        <v>420</v>
      </c>
      <c r="L614" s="6">
        <f t="shared" si="37"/>
        <v>-3780</v>
      </c>
      <c r="M614" s="6">
        <f>_xlfn.XLOOKUP(E614, Products!A:A, Products!E:E)</f>
        <v>282</v>
      </c>
      <c r="N614" s="6">
        <f t="shared" si="38"/>
        <v>564</v>
      </c>
      <c r="O614" s="8">
        <f t="shared" si="39"/>
        <v>-4344</v>
      </c>
      <c r="Q614" s="8"/>
      <c r="R614" s="8"/>
    </row>
    <row r="615" spans="1:18">
      <c r="A615" s="4">
        <v>100647</v>
      </c>
      <c r="B615" s="1">
        <v>45460</v>
      </c>
      <c r="C615" s="1">
        <v>45301</v>
      </c>
      <c r="D615" t="s">
        <v>380</v>
      </c>
      <c r="E615" t="s">
        <v>91</v>
      </c>
      <c r="F615">
        <v>2</v>
      </c>
      <c r="G615">
        <v>336</v>
      </c>
      <c r="H615">
        <v>5</v>
      </c>
      <c r="I615" t="s">
        <v>19</v>
      </c>
      <c r="J615" t="s">
        <v>13</v>
      </c>
      <c r="K615" s="6">
        <f t="shared" si="36"/>
        <v>672</v>
      </c>
      <c r="L615" s="6">
        <f t="shared" si="37"/>
        <v>-2688</v>
      </c>
      <c r="M615" s="6">
        <f>_xlfn.XLOOKUP(E615, Products!A:A, Products!E:E)</f>
        <v>243</v>
      </c>
      <c r="N615" s="6">
        <f t="shared" si="38"/>
        <v>486</v>
      </c>
      <c r="O615" s="8">
        <f t="shared" si="39"/>
        <v>-3174</v>
      </c>
      <c r="Q615" s="8"/>
      <c r="R615" s="8"/>
    </row>
    <row r="616" spans="1:18">
      <c r="A616" s="4">
        <v>100856</v>
      </c>
      <c r="B616" s="1">
        <v>45460</v>
      </c>
      <c r="C616" s="1">
        <v>45302</v>
      </c>
      <c r="D616" t="s">
        <v>379</v>
      </c>
      <c r="E616" t="s">
        <v>77</v>
      </c>
      <c r="F616">
        <v>2</v>
      </c>
      <c r="G616">
        <v>1687</v>
      </c>
      <c r="H616">
        <v>15</v>
      </c>
      <c r="I616" t="s">
        <v>32</v>
      </c>
      <c r="J616" t="s">
        <v>13</v>
      </c>
      <c r="K616" s="6">
        <f t="shared" si="36"/>
        <v>3374</v>
      </c>
      <c r="L616" s="6">
        <f t="shared" si="37"/>
        <v>-47236</v>
      </c>
      <c r="M616" s="6">
        <f>_xlfn.XLOOKUP(E616, Products!A:A, Products!E:E)</f>
        <v>94</v>
      </c>
      <c r="N616" s="6">
        <f t="shared" si="38"/>
        <v>188</v>
      </c>
      <c r="O616" s="8">
        <f t="shared" si="39"/>
        <v>-47424</v>
      </c>
      <c r="Q616" s="8"/>
      <c r="R616" s="8"/>
    </row>
    <row r="617" spans="1:18">
      <c r="A617" s="4">
        <v>100445</v>
      </c>
      <c r="B617" s="1">
        <v>45460</v>
      </c>
      <c r="C617" s="1">
        <v>45299</v>
      </c>
      <c r="D617" t="s">
        <v>272</v>
      </c>
      <c r="E617" t="s">
        <v>123</v>
      </c>
      <c r="F617">
        <v>2</v>
      </c>
      <c r="G617">
        <v>486</v>
      </c>
      <c r="H617">
        <v>5</v>
      </c>
      <c r="I617" t="s">
        <v>19</v>
      </c>
      <c r="J617" t="s">
        <v>22</v>
      </c>
      <c r="K617" s="6">
        <f t="shared" si="36"/>
        <v>972</v>
      </c>
      <c r="L617" s="6">
        <f t="shared" si="37"/>
        <v>-3888</v>
      </c>
      <c r="M617" s="6">
        <f>_xlfn.XLOOKUP(E617, Products!A:A, Products!E:E)</f>
        <v>154</v>
      </c>
      <c r="N617" s="6">
        <f t="shared" si="38"/>
        <v>308</v>
      </c>
      <c r="O617" s="8">
        <f t="shared" si="39"/>
        <v>-4196</v>
      </c>
      <c r="Q617" s="8"/>
      <c r="R617" s="8"/>
    </row>
    <row r="618" spans="1:18">
      <c r="A618" s="4">
        <v>100702</v>
      </c>
      <c r="B618" s="1">
        <v>45457</v>
      </c>
      <c r="C618" s="1">
        <v>45297</v>
      </c>
      <c r="D618" t="s">
        <v>94</v>
      </c>
      <c r="E618" t="s">
        <v>126</v>
      </c>
      <c r="F618">
        <v>2</v>
      </c>
      <c r="G618">
        <v>340</v>
      </c>
      <c r="H618">
        <v>15</v>
      </c>
      <c r="I618" t="s">
        <v>29</v>
      </c>
      <c r="J618" t="s">
        <v>16</v>
      </c>
      <c r="K618" s="6">
        <f t="shared" si="36"/>
        <v>680</v>
      </c>
      <c r="L618" s="6">
        <f t="shared" si="37"/>
        <v>-9520</v>
      </c>
      <c r="M618" s="6">
        <f>_xlfn.XLOOKUP(E618, Products!A:A, Products!E:E)</f>
        <v>177</v>
      </c>
      <c r="N618" s="6">
        <f t="shared" si="38"/>
        <v>354</v>
      </c>
      <c r="O618" s="8">
        <f t="shared" si="39"/>
        <v>-9874</v>
      </c>
      <c r="Q618" s="8"/>
      <c r="R618" s="8"/>
    </row>
    <row r="619" spans="1:18">
      <c r="A619" s="4">
        <v>100605</v>
      </c>
      <c r="B619" s="1">
        <v>45457</v>
      </c>
      <c r="C619" s="1">
        <v>45300</v>
      </c>
      <c r="D619" t="s">
        <v>270</v>
      </c>
      <c r="E619" t="s">
        <v>176</v>
      </c>
      <c r="F619">
        <v>2</v>
      </c>
      <c r="G619">
        <v>1452</v>
      </c>
      <c r="H619">
        <v>0</v>
      </c>
      <c r="I619" t="s">
        <v>12</v>
      </c>
      <c r="J619" t="s">
        <v>13</v>
      </c>
      <c r="K619" s="6">
        <f t="shared" si="36"/>
        <v>2904</v>
      </c>
      <c r="L619" s="6">
        <f t="shared" si="37"/>
        <v>2904</v>
      </c>
      <c r="M619" s="6">
        <f>_xlfn.XLOOKUP(E619, Products!A:A, Products!E:E)</f>
        <v>61</v>
      </c>
      <c r="N619" s="6">
        <f t="shared" si="38"/>
        <v>122</v>
      </c>
      <c r="O619" s="8">
        <f t="shared" si="39"/>
        <v>2782</v>
      </c>
      <c r="Q619" s="8"/>
      <c r="R619" s="8"/>
    </row>
    <row r="620" spans="1:18">
      <c r="A620" s="4">
        <v>100431</v>
      </c>
      <c r="B620" s="1">
        <v>45457</v>
      </c>
      <c r="C620" s="1">
        <v>45294</v>
      </c>
      <c r="D620" t="s">
        <v>346</v>
      </c>
      <c r="E620" t="s">
        <v>242</v>
      </c>
      <c r="F620">
        <v>2</v>
      </c>
      <c r="G620">
        <v>1817</v>
      </c>
      <c r="H620">
        <v>10</v>
      </c>
      <c r="I620" t="s">
        <v>32</v>
      </c>
      <c r="J620" t="s">
        <v>13</v>
      </c>
      <c r="K620" s="6">
        <f t="shared" si="36"/>
        <v>3634</v>
      </c>
      <c r="L620" s="6">
        <f t="shared" si="37"/>
        <v>-32706</v>
      </c>
      <c r="M620" s="6">
        <f>_xlfn.XLOOKUP(E620, Products!A:A, Products!E:E)</f>
        <v>140</v>
      </c>
      <c r="N620" s="6">
        <f t="shared" si="38"/>
        <v>280</v>
      </c>
      <c r="O620" s="8">
        <f t="shared" si="39"/>
        <v>-32986</v>
      </c>
      <c r="Q620" s="8"/>
      <c r="R620" s="8"/>
    </row>
    <row r="621" spans="1:18">
      <c r="A621" s="4">
        <v>100827</v>
      </c>
      <c r="B621" s="1">
        <v>45456</v>
      </c>
      <c r="C621" s="1">
        <v>45295</v>
      </c>
      <c r="D621" t="s">
        <v>199</v>
      </c>
      <c r="E621" t="s">
        <v>61</v>
      </c>
      <c r="F621">
        <v>2</v>
      </c>
      <c r="G621">
        <v>308</v>
      </c>
      <c r="H621">
        <v>0</v>
      </c>
      <c r="I621" t="s">
        <v>29</v>
      </c>
      <c r="J621" t="s">
        <v>13</v>
      </c>
      <c r="K621" s="6">
        <f t="shared" si="36"/>
        <v>616</v>
      </c>
      <c r="L621" s="6">
        <f t="shared" si="37"/>
        <v>616</v>
      </c>
      <c r="M621" s="6">
        <f>_xlfn.XLOOKUP(E621, Products!A:A, Products!E:E)</f>
        <v>65</v>
      </c>
      <c r="N621" s="6">
        <f t="shared" si="38"/>
        <v>130</v>
      </c>
      <c r="O621" s="8">
        <f t="shared" si="39"/>
        <v>486</v>
      </c>
      <c r="Q621" s="8"/>
      <c r="R621" s="8"/>
    </row>
    <row r="622" spans="1:18">
      <c r="A622" s="4">
        <v>100356</v>
      </c>
      <c r="B622" s="1">
        <v>45455</v>
      </c>
      <c r="C622" s="1">
        <v>45302</v>
      </c>
      <c r="D622" t="s">
        <v>322</v>
      </c>
      <c r="E622" t="s">
        <v>152</v>
      </c>
      <c r="F622">
        <v>2</v>
      </c>
      <c r="G622">
        <v>644</v>
      </c>
      <c r="H622">
        <v>10</v>
      </c>
      <c r="I622" t="s">
        <v>19</v>
      </c>
      <c r="J622" t="s">
        <v>26</v>
      </c>
      <c r="K622" s="6">
        <f t="shared" si="36"/>
        <v>1288</v>
      </c>
      <c r="L622" s="6">
        <f t="shared" si="37"/>
        <v>-11592</v>
      </c>
      <c r="M622" s="6">
        <f>_xlfn.XLOOKUP(E622, Products!A:A, Products!E:E)</f>
        <v>272</v>
      </c>
      <c r="N622" s="6">
        <f t="shared" si="38"/>
        <v>544</v>
      </c>
      <c r="O622" s="8">
        <f t="shared" si="39"/>
        <v>-12136</v>
      </c>
      <c r="Q622" s="8"/>
      <c r="R622" s="8"/>
    </row>
    <row r="623" spans="1:18">
      <c r="A623" s="4">
        <v>100067</v>
      </c>
      <c r="B623" s="1">
        <v>45455</v>
      </c>
      <c r="C623" s="1">
        <v>45297</v>
      </c>
      <c r="D623" t="s">
        <v>127</v>
      </c>
      <c r="E623" t="s">
        <v>48</v>
      </c>
      <c r="F623">
        <v>2</v>
      </c>
      <c r="G623">
        <v>1744</v>
      </c>
      <c r="H623">
        <v>0</v>
      </c>
      <c r="I623" t="s">
        <v>12</v>
      </c>
      <c r="J623" t="s">
        <v>16</v>
      </c>
      <c r="K623" s="6">
        <f t="shared" si="36"/>
        <v>3488</v>
      </c>
      <c r="L623" s="6">
        <f t="shared" si="37"/>
        <v>3488</v>
      </c>
      <c r="M623" s="6">
        <f>_xlfn.XLOOKUP(E623, Products!A:A, Products!E:E)</f>
        <v>179</v>
      </c>
      <c r="N623" s="6">
        <f t="shared" si="38"/>
        <v>358</v>
      </c>
      <c r="O623" s="8">
        <f t="shared" si="39"/>
        <v>3130</v>
      </c>
      <c r="Q623" s="8"/>
      <c r="R623" s="8"/>
    </row>
    <row r="624" spans="1:18">
      <c r="A624" s="4">
        <v>100883</v>
      </c>
      <c r="B624" s="1">
        <v>45451</v>
      </c>
      <c r="C624" s="1">
        <v>45300</v>
      </c>
      <c r="D624" t="s">
        <v>344</v>
      </c>
      <c r="E624" t="s">
        <v>115</v>
      </c>
      <c r="F624">
        <v>2</v>
      </c>
      <c r="G624">
        <v>203</v>
      </c>
      <c r="H624">
        <v>0</v>
      </c>
      <c r="I624" t="s">
        <v>12</v>
      </c>
      <c r="J624" t="s">
        <v>26</v>
      </c>
      <c r="K624" s="6">
        <f t="shared" si="36"/>
        <v>406</v>
      </c>
      <c r="L624" s="6">
        <f t="shared" si="37"/>
        <v>406</v>
      </c>
      <c r="M624" s="6">
        <f>_xlfn.XLOOKUP(E624, Products!A:A, Products!E:E)</f>
        <v>211</v>
      </c>
      <c r="N624" s="6">
        <f t="shared" si="38"/>
        <v>422</v>
      </c>
      <c r="O624" s="8">
        <f t="shared" si="39"/>
        <v>-16</v>
      </c>
      <c r="Q624" s="8"/>
      <c r="R624" s="8"/>
    </row>
    <row r="625" spans="1:18">
      <c r="A625" s="4">
        <v>100274</v>
      </c>
      <c r="B625" s="1">
        <v>45451</v>
      </c>
      <c r="C625" s="1">
        <v>45298</v>
      </c>
      <c r="D625" t="s">
        <v>203</v>
      </c>
      <c r="E625" t="s">
        <v>242</v>
      </c>
      <c r="F625">
        <v>2</v>
      </c>
      <c r="G625">
        <v>1776</v>
      </c>
      <c r="H625">
        <v>10</v>
      </c>
      <c r="I625" t="s">
        <v>12</v>
      </c>
      <c r="J625" t="s">
        <v>26</v>
      </c>
      <c r="K625" s="6">
        <f t="shared" si="36"/>
        <v>3552</v>
      </c>
      <c r="L625" s="6">
        <f t="shared" si="37"/>
        <v>-31968</v>
      </c>
      <c r="M625" s="6">
        <f>_xlfn.XLOOKUP(E625, Products!A:A, Products!E:E)</f>
        <v>140</v>
      </c>
      <c r="N625" s="6">
        <f t="shared" si="38"/>
        <v>280</v>
      </c>
      <c r="O625" s="8">
        <f t="shared" si="39"/>
        <v>-32248</v>
      </c>
      <c r="Q625" s="8"/>
      <c r="R625" s="8"/>
    </row>
    <row r="626" spans="1:18">
      <c r="A626" s="4">
        <v>100521</v>
      </c>
      <c r="B626" s="1">
        <v>45451</v>
      </c>
      <c r="C626" s="1">
        <v>45298</v>
      </c>
      <c r="D626" t="s">
        <v>319</v>
      </c>
      <c r="E626" t="s">
        <v>37</v>
      </c>
      <c r="F626">
        <v>2</v>
      </c>
      <c r="G626">
        <v>1590</v>
      </c>
      <c r="H626">
        <v>5</v>
      </c>
      <c r="I626" t="s">
        <v>29</v>
      </c>
      <c r="J626" t="s">
        <v>13</v>
      </c>
      <c r="K626" s="6">
        <f t="shared" si="36"/>
        <v>3180</v>
      </c>
      <c r="L626" s="6">
        <f t="shared" si="37"/>
        <v>-12720</v>
      </c>
      <c r="M626" s="6">
        <f>_xlfn.XLOOKUP(E626, Products!A:A, Products!E:E)</f>
        <v>282</v>
      </c>
      <c r="N626" s="6">
        <f t="shared" si="38"/>
        <v>564</v>
      </c>
      <c r="O626" s="8">
        <f t="shared" si="39"/>
        <v>-13284</v>
      </c>
      <c r="Q626" s="8"/>
      <c r="R626" s="8"/>
    </row>
    <row r="627" spans="1:18">
      <c r="A627" s="4">
        <v>100151</v>
      </c>
      <c r="B627" s="1">
        <v>45450</v>
      </c>
      <c r="C627" s="1">
        <v>45294</v>
      </c>
      <c r="D627" t="s">
        <v>109</v>
      </c>
      <c r="E627" t="s">
        <v>24</v>
      </c>
      <c r="F627">
        <v>2</v>
      </c>
      <c r="G627">
        <v>517</v>
      </c>
      <c r="H627">
        <v>0</v>
      </c>
      <c r="I627" t="s">
        <v>19</v>
      </c>
      <c r="J627" t="s">
        <v>16</v>
      </c>
      <c r="K627" s="6">
        <f t="shared" si="36"/>
        <v>1034</v>
      </c>
      <c r="L627" s="6">
        <f t="shared" si="37"/>
        <v>1034</v>
      </c>
      <c r="M627" s="6">
        <f>_xlfn.XLOOKUP(E627, Products!A:A, Products!E:E)</f>
        <v>105</v>
      </c>
      <c r="N627" s="6">
        <f t="shared" si="38"/>
        <v>210</v>
      </c>
      <c r="O627" s="8">
        <f t="shared" si="39"/>
        <v>824</v>
      </c>
      <c r="Q627" s="8"/>
      <c r="R627" s="8"/>
    </row>
    <row r="628" spans="1:18">
      <c r="A628" s="4">
        <v>100428</v>
      </c>
      <c r="B628" s="1">
        <v>45450</v>
      </c>
      <c r="C628" s="1">
        <v>45302</v>
      </c>
      <c r="D628" t="s">
        <v>186</v>
      </c>
      <c r="E628" t="s">
        <v>89</v>
      </c>
      <c r="F628">
        <v>2</v>
      </c>
      <c r="G628">
        <v>465</v>
      </c>
      <c r="H628">
        <v>15</v>
      </c>
      <c r="I628" t="s">
        <v>32</v>
      </c>
      <c r="J628" t="s">
        <v>22</v>
      </c>
      <c r="K628" s="6">
        <f t="shared" si="36"/>
        <v>930</v>
      </c>
      <c r="L628" s="6">
        <f t="shared" si="37"/>
        <v>-13020</v>
      </c>
      <c r="M628" s="6">
        <f>_xlfn.XLOOKUP(E628, Products!A:A, Products!E:E)</f>
        <v>184</v>
      </c>
      <c r="N628" s="6">
        <f t="shared" si="38"/>
        <v>368</v>
      </c>
      <c r="O628" s="8">
        <f t="shared" si="39"/>
        <v>-13388</v>
      </c>
      <c r="Q628" s="8"/>
      <c r="R628" s="8"/>
    </row>
    <row r="629" spans="1:18">
      <c r="A629" s="4">
        <v>100581</v>
      </c>
      <c r="B629" s="1">
        <v>45450</v>
      </c>
      <c r="C629" s="1">
        <v>45302</v>
      </c>
      <c r="D629" t="s">
        <v>216</v>
      </c>
      <c r="E629" t="s">
        <v>39</v>
      </c>
      <c r="F629">
        <v>2</v>
      </c>
      <c r="G629">
        <v>1184</v>
      </c>
      <c r="H629">
        <v>5</v>
      </c>
      <c r="I629" t="s">
        <v>32</v>
      </c>
      <c r="J629" t="s">
        <v>13</v>
      </c>
      <c r="K629" s="6">
        <f t="shared" si="36"/>
        <v>2368</v>
      </c>
      <c r="L629" s="6">
        <f t="shared" si="37"/>
        <v>-9472</v>
      </c>
      <c r="M629" s="6">
        <f>_xlfn.XLOOKUP(E629, Products!A:A, Products!E:E)</f>
        <v>238</v>
      </c>
      <c r="N629" s="6">
        <f t="shared" si="38"/>
        <v>476</v>
      </c>
      <c r="O629" s="8">
        <f t="shared" si="39"/>
        <v>-9948</v>
      </c>
      <c r="Q629" s="8"/>
      <c r="R629" s="8"/>
    </row>
    <row r="630" spans="1:18">
      <c r="A630" s="4">
        <v>100750</v>
      </c>
      <c r="B630" s="1">
        <v>45449</v>
      </c>
      <c r="C630" s="1">
        <v>45295</v>
      </c>
      <c r="D630" t="s">
        <v>193</v>
      </c>
      <c r="E630" t="s">
        <v>204</v>
      </c>
      <c r="F630">
        <v>2</v>
      </c>
      <c r="G630">
        <v>1326</v>
      </c>
      <c r="H630">
        <v>0</v>
      </c>
      <c r="I630" t="s">
        <v>19</v>
      </c>
      <c r="J630" t="s">
        <v>13</v>
      </c>
      <c r="K630" s="6">
        <f t="shared" si="36"/>
        <v>2652</v>
      </c>
      <c r="L630" s="6">
        <f t="shared" si="37"/>
        <v>2652</v>
      </c>
      <c r="M630" s="6">
        <f>_xlfn.XLOOKUP(E630, Products!A:A, Products!E:E)</f>
        <v>229</v>
      </c>
      <c r="N630" s="6">
        <f t="shared" si="38"/>
        <v>458</v>
      </c>
      <c r="O630" s="8">
        <f t="shared" si="39"/>
        <v>2194</v>
      </c>
      <c r="Q630" s="8"/>
      <c r="R630" s="8"/>
    </row>
    <row r="631" spans="1:18">
      <c r="A631" s="4">
        <v>100532</v>
      </c>
      <c r="B631" s="1">
        <v>45447</v>
      </c>
      <c r="C631" s="1">
        <v>45301</v>
      </c>
      <c r="D631" t="s">
        <v>365</v>
      </c>
      <c r="E631" t="s">
        <v>165</v>
      </c>
      <c r="F631">
        <v>2</v>
      </c>
      <c r="G631">
        <v>1051</v>
      </c>
      <c r="H631">
        <v>10</v>
      </c>
      <c r="I631" t="s">
        <v>12</v>
      </c>
      <c r="J631" t="s">
        <v>26</v>
      </c>
      <c r="K631" s="6">
        <f t="shared" si="36"/>
        <v>2102</v>
      </c>
      <c r="L631" s="6">
        <f t="shared" si="37"/>
        <v>-18918</v>
      </c>
      <c r="M631" s="6">
        <f>_xlfn.XLOOKUP(E631, Products!A:A, Products!E:E)</f>
        <v>241</v>
      </c>
      <c r="N631" s="6">
        <f t="shared" si="38"/>
        <v>482</v>
      </c>
      <c r="O631" s="8">
        <f t="shared" si="39"/>
        <v>-19400</v>
      </c>
      <c r="Q631" s="8"/>
      <c r="R631" s="8"/>
    </row>
    <row r="632" spans="1:18">
      <c r="A632" s="4">
        <v>100920</v>
      </c>
      <c r="B632" s="1">
        <v>45444</v>
      </c>
      <c r="C632" s="1">
        <v>45296</v>
      </c>
      <c r="D632" t="s">
        <v>227</v>
      </c>
      <c r="E632" t="s">
        <v>85</v>
      </c>
      <c r="F632">
        <v>2</v>
      </c>
      <c r="G632">
        <v>1382</v>
      </c>
      <c r="H632">
        <v>15</v>
      </c>
      <c r="I632" t="s">
        <v>29</v>
      </c>
      <c r="J632" t="s">
        <v>16</v>
      </c>
      <c r="K632" s="6">
        <f t="shared" si="36"/>
        <v>2764</v>
      </c>
      <c r="L632" s="6">
        <f t="shared" si="37"/>
        <v>-38696</v>
      </c>
      <c r="M632" s="6">
        <f>_xlfn.XLOOKUP(E632, Products!A:A, Products!E:E)</f>
        <v>148</v>
      </c>
      <c r="N632" s="6">
        <f t="shared" si="38"/>
        <v>296</v>
      </c>
      <c r="O632" s="8">
        <f t="shared" si="39"/>
        <v>-38992</v>
      </c>
      <c r="Q632" s="8"/>
      <c r="R632" s="8"/>
    </row>
    <row r="633" spans="1:18">
      <c r="A633" s="4">
        <v>100007</v>
      </c>
      <c r="B633" s="1">
        <v>45443</v>
      </c>
      <c r="C633" s="1">
        <v>45295</v>
      </c>
      <c r="D633" t="s">
        <v>30</v>
      </c>
      <c r="E633" t="s">
        <v>31</v>
      </c>
      <c r="F633">
        <v>2</v>
      </c>
      <c r="G633">
        <v>394</v>
      </c>
      <c r="H633">
        <v>5</v>
      </c>
      <c r="I633" t="s">
        <v>32</v>
      </c>
      <c r="J633" t="s">
        <v>13</v>
      </c>
      <c r="K633" s="6">
        <f t="shared" si="36"/>
        <v>788</v>
      </c>
      <c r="L633" s="6">
        <f t="shared" si="37"/>
        <v>-3152</v>
      </c>
      <c r="M633" s="6">
        <f>_xlfn.XLOOKUP(E633, Products!A:A, Products!E:E)</f>
        <v>187</v>
      </c>
      <c r="N633" s="6">
        <f t="shared" si="38"/>
        <v>374</v>
      </c>
      <c r="O633" s="8">
        <f t="shared" si="39"/>
        <v>-3526</v>
      </c>
      <c r="Q633" s="8"/>
      <c r="R633" s="8"/>
    </row>
    <row r="634" spans="1:18">
      <c r="A634" s="4">
        <v>100189</v>
      </c>
      <c r="B634" s="1">
        <v>45442</v>
      </c>
      <c r="C634" s="1">
        <v>45296</v>
      </c>
      <c r="D634" t="s">
        <v>52</v>
      </c>
      <c r="E634" t="s">
        <v>41</v>
      </c>
      <c r="F634">
        <v>2</v>
      </c>
      <c r="G634">
        <v>1607</v>
      </c>
      <c r="H634">
        <v>0</v>
      </c>
      <c r="I634" t="s">
        <v>32</v>
      </c>
      <c r="J634" t="s">
        <v>13</v>
      </c>
      <c r="K634" s="6">
        <f t="shared" si="36"/>
        <v>3214</v>
      </c>
      <c r="L634" s="6">
        <f t="shared" si="37"/>
        <v>3214</v>
      </c>
      <c r="M634" s="6">
        <f>_xlfn.XLOOKUP(E634, Products!A:A, Products!E:E)</f>
        <v>125</v>
      </c>
      <c r="N634" s="6">
        <f t="shared" si="38"/>
        <v>250</v>
      </c>
      <c r="O634" s="8">
        <f t="shared" si="39"/>
        <v>2964</v>
      </c>
      <c r="Q634" s="8"/>
      <c r="R634" s="8"/>
    </row>
    <row r="635" spans="1:18">
      <c r="A635" s="4">
        <v>100928</v>
      </c>
      <c r="B635" s="1">
        <v>45439</v>
      </c>
      <c r="C635" s="1">
        <v>45296</v>
      </c>
      <c r="D635" t="s">
        <v>146</v>
      </c>
      <c r="E635" t="s">
        <v>164</v>
      </c>
      <c r="F635">
        <v>2</v>
      </c>
      <c r="G635">
        <v>923</v>
      </c>
      <c r="H635">
        <v>15</v>
      </c>
      <c r="I635" t="s">
        <v>12</v>
      </c>
      <c r="J635" t="s">
        <v>16</v>
      </c>
      <c r="K635" s="6">
        <f t="shared" si="36"/>
        <v>1846</v>
      </c>
      <c r="L635" s="6">
        <f t="shared" si="37"/>
        <v>-25844</v>
      </c>
      <c r="M635" s="6">
        <f>_xlfn.XLOOKUP(E635, Products!A:A, Products!E:E)</f>
        <v>156</v>
      </c>
      <c r="N635" s="6">
        <f t="shared" si="38"/>
        <v>312</v>
      </c>
      <c r="O635" s="8">
        <f t="shared" si="39"/>
        <v>-26156</v>
      </c>
      <c r="Q635" s="8"/>
      <c r="R635" s="8"/>
    </row>
    <row r="636" spans="1:18">
      <c r="A636" s="4">
        <v>100301</v>
      </c>
      <c r="B636" s="1">
        <v>45436</v>
      </c>
      <c r="C636" s="1">
        <v>45298</v>
      </c>
      <c r="D636" t="s">
        <v>234</v>
      </c>
      <c r="E636" t="s">
        <v>221</v>
      </c>
      <c r="F636">
        <v>2</v>
      </c>
      <c r="G636">
        <v>372</v>
      </c>
      <c r="H636">
        <v>5</v>
      </c>
      <c r="I636" t="s">
        <v>32</v>
      </c>
      <c r="J636" t="s">
        <v>26</v>
      </c>
      <c r="K636" s="6">
        <f t="shared" si="36"/>
        <v>744</v>
      </c>
      <c r="L636" s="6">
        <f t="shared" si="37"/>
        <v>-2976</v>
      </c>
      <c r="M636" s="6">
        <f>_xlfn.XLOOKUP(E636, Products!A:A, Products!E:E)</f>
        <v>208</v>
      </c>
      <c r="N636" s="6">
        <f t="shared" si="38"/>
        <v>416</v>
      </c>
      <c r="O636" s="8">
        <f t="shared" si="39"/>
        <v>-3392</v>
      </c>
      <c r="Q636" s="8"/>
      <c r="R636" s="8"/>
    </row>
    <row r="637" spans="1:18">
      <c r="A637" s="4">
        <v>100563</v>
      </c>
      <c r="B637" s="1">
        <v>45434</v>
      </c>
      <c r="C637" s="1">
        <v>45298</v>
      </c>
      <c r="D637" t="s">
        <v>370</v>
      </c>
      <c r="E637" t="s">
        <v>170</v>
      </c>
      <c r="F637">
        <v>2</v>
      </c>
      <c r="G637">
        <v>1882</v>
      </c>
      <c r="H637">
        <v>0</v>
      </c>
      <c r="I637" t="s">
        <v>19</v>
      </c>
      <c r="J637" t="s">
        <v>26</v>
      </c>
      <c r="K637" s="6">
        <f t="shared" si="36"/>
        <v>3764</v>
      </c>
      <c r="L637" s="6">
        <f t="shared" si="37"/>
        <v>3764</v>
      </c>
      <c r="M637" s="6">
        <f>_xlfn.XLOOKUP(E637, Products!A:A, Products!E:E)</f>
        <v>264</v>
      </c>
      <c r="N637" s="6">
        <f t="shared" si="38"/>
        <v>528</v>
      </c>
      <c r="O637" s="8">
        <f t="shared" si="39"/>
        <v>3236</v>
      </c>
      <c r="Q637" s="8"/>
      <c r="R637" s="8"/>
    </row>
    <row r="638" spans="1:18">
      <c r="A638" s="4">
        <v>100254</v>
      </c>
      <c r="B638" s="1">
        <v>45434</v>
      </c>
      <c r="C638" s="1">
        <v>45297</v>
      </c>
      <c r="D638" t="s">
        <v>113</v>
      </c>
      <c r="E638" t="s">
        <v>190</v>
      </c>
      <c r="F638">
        <v>2</v>
      </c>
      <c r="G638">
        <v>423</v>
      </c>
      <c r="H638">
        <v>5</v>
      </c>
      <c r="I638" t="s">
        <v>32</v>
      </c>
      <c r="J638" t="s">
        <v>22</v>
      </c>
      <c r="K638" s="6">
        <f t="shared" si="36"/>
        <v>846</v>
      </c>
      <c r="L638" s="6">
        <f t="shared" si="37"/>
        <v>-3384</v>
      </c>
      <c r="M638" s="6">
        <f>_xlfn.XLOOKUP(E638, Products!A:A, Products!E:E)</f>
        <v>273</v>
      </c>
      <c r="N638" s="6">
        <f t="shared" si="38"/>
        <v>546</v>
      </c>
      <c r="O638" s="8">
        <f t="shared" si="39"/>
        <v>-3930</v>
      </c>
      <c r="Q638" s="8"/>
      <c r="R638" s="8"/>
    </row>
    <row r="639" spans="1:18">
      <c r="A639" s="4">
        <v>100049</v>
      </c>
      <c r="B639" s="1">
        <v>45433</v>
      </c>
      <c r="C639" s="1">
        <v>45298</v>
      </c>
      <c r="D639" t="s">
        <v>104</v>
      </c>
      <c r="E639" t="s">
        <v>39</v>
      </c>
      <c r="F639">
        <v>2</v>
      </c>
      <c r="G639">
        <v>1476</v>
      </c>
      <c r="H639">
        <v>15</v>
      </c>
      <c r="I639" t="s">
        <v>19</v>
      </c>
      <c r="J639" t="s">
        <v>13</v>
      </c>
      <c r="K639" s="6">
        <f t="shared" si="36"/>
        <v>2952</v>
      </c>
      <c r="L639" s="6">
        <f t="shared" si="37"/>
        <v>-41328</v>
      </c>
      <c r="M639" s="6">
        <f>_xlfn.XLOOKUP(E639, Products!A:A, Products!E:E)</f>
        <v>238</v>
      </c>
      <c r="N639" s="6">
        <f t="shared" si="38"/>
        <v>476</v>
      </c>
      <c r="O639" s="8">
        <f t="shared" si="39"/>
        <v>-41804</v>
      </c>
      <c r="Q639" s="8"/>
      <c r="R639" s="8"/>
    </row>
    <row r="640" spans="1:18">
      <c r="A640" s="4">
        <v>100882</v>
      </c>
      <c r="B640" s="1">
        <v>45432</v>
      </c>
      <c r="C640" s="1">
        <v>45296</v>
      </c>
      <c r="D640" t="s">
        <v>100</v>
      </c>
      <c r="E640" t="s">
        <v>209</v>
      </c>
      <c r="F640">
        <v>2</v>
      </c>
      <c r="G640">
        <v>1171</v>
      </c>
      <c r="H640">
        <v>5</v>
      </c>
      <c r="I640" t="s">
        <v>29</v>
      </c>
      <c r="J640" t="s">
        <v>16</v>
      </c>
      <c r="K640" s="6">
        <f t="shared" si="36"/>
        <v>2342</v>
      </c>
      <c r="L640" s="6">
        <f t="shared" si="37"/>
        <v>-9368</v>
      </c>
      <c r="M640" s="6">
        <f>_xlfn.XLOOKUP(E640, Products!A:A, Products!E:E)</f>
        <v>53</v>
      </c>
      <c r="N640" s="6">
        <f t="shared" si="38"/>
        <v>106</v>
      </c>
      <c r="O640" s="8">
        <f t="shared" si="39"/>
        <v>-9474</v>
      </c>
      <c r="Q640" s="8"/>
      <c r="R640" s="8"/>
    </row>
    <row r="641" spans="1:18">
      <c r="A641" s="4">
        <v>100795</v>
      </c>
      <c r="B641" s="1">
        <v>45430</v>
      </c>
      <c r="C641" s="1">
        <v>45301</v>
      </c>
      <c r="D641" t="s">
        <v>255</v>
      </c>
      <c r="E641" t="s">
        <v>41</v>
      </c>
      <c r="F641">
        <v>2</v>
      </c>
      <c r="G641">
        <v>204</v>
      </c>
      <c r="H641">
        <v>15</v>
      </c>
      <c r="I641" t="s">
        <v>29</v>
      </c>
      <c r="J641" t="s">
        <v>26</v>
      </c>
      <c r="K641" s="6">
        <f t="shared" si="36"/>
        <v>408</v>
      </c>
      <c r="L641" s="6">
        <f t="shared" si="37"/>
        <v>-5712</v>
      </c>
      <c r="M641" s="6">
        <f>_xlfn.XLOOKUP(E641, Products!A:A, Products!E:E)</f>
        <v>125</v>
      </c>
      <c r="N641" s="6">
        <f t="shared" si="38"/>
        <v>250</v>
      </c>
      <c r="O641" s="8">
        <f t="shared" si="39"/>
        <v>-5962</v>
      </c>
      <c r="Q641" s="8"/>
      <c r="R641" s="8"/>
    </row>
    <row r="642" spans="1:18">
      <c r="A642" s="4">
        <v>100205</v>
      </c>
      <c r="B642" s="1">
        <v>45428</v>
      </c>
      <c r="C642" s="1">
        <v>45294</v>
      </c>
      <c r="D642" t="s">
        <v>249</v>
      </c>
      <c r="E642" t="s">
        <v>103</v>
      </c>
      <c r="F642">
        <v>2</v>
      </c>
      <c r="G642">
        <v>260</v>
      </c>
      <c r="H642">
        <v>15</v>
      </c>
      <c r="I642" t="s">
        <v>12</v>
      </c>
      <c r="J642" t="s">
        <v>26</v>
      </c>
      <c r="K642" s="6">
        <f t="shared" ref="K642:K705" si="40">F642*G642</f>
        <v>520</v>
      </c>
      <c r="L642" s="6">
        <f t="shared" si="37"/>
        <v>-7280</v>
      </c>
      <c r="M642" s="6">
        <f>_xlfn.XLOOKUP(E642, Products!A:A, Products!E:E)</f>
        <v>185</v>
      </c>
      <c r="N642" s="6">
        <f t="shared" si="38"/>
        <v>370</v>
      </c>
      <c r="O642" s="8">
        <f t="shared" si="39"/>
        <v>-7650</v>
      </c>
      <c r="Q642" s="8"/>
      <c r="R642" s="8"/>
    </row>
    <row r="643" spans="1:18">
      <c r="A643" s="4">
        <v>100041</v>
      </c>
      <c r="B643" s="1">
        <v>45425</v>
      </c>
      <c r="C643" s="1">
        <v>45301</v>
      </c>
      <c r="D643" t="s">
        <v>88</v>
      </c>
      <c r="E643" t="s">
        <v>89</v>
      </c>
      <c r="F643">
        <v>2</v>
      </c>
      <c r="G643">
        <v>1110</v>
      </c>
      <c r="H643">
        <v>0</v>
      </c>
      <c r="I643" t="s">
        <v>32</v>
      </c>
      <c r="J643" t="s">
        <v>26</v>
      </c>
      <c r="K643" s="6">
        <f t="shared" si="40"/>
        <v>2220</v>
      </c>
      <c r="L643" s="6">
        <f t="shared" ref="L643:L706" si="41">F643*G643*(1-H643)</f>
        <v>2220</v>
      </c>
      <c r="M643" s="6">
        <f>_xlfn.XLOOKUP(E643, Products!A:A, Products!E:E)</f>
        <v>184</v>
      </c>
      <c r="N643" s="6">
        <f t="shared" ref="N643:N706" si="42">F643*M643</f>
        <v>368</v>
      </c>
      <c r="O643" s="8">
        <f t="shared" ref="O643:O706" si="43">L643-N643</f>
        <v>1852</v>
      </c>
      <c r="Q643" s="8"/>
      <c r="R643" s="8"/>
    </row>
    <row r="644" spans="1:18">
      <c r="A644" s="4">
        <v>100901</v>
      </c>
      <c r="B644" s="1">
        <v>45420</v>
      </c>
      <c r="C644" s="1">
        <v>45294</v>
      </c>
      <c r="D644" t="s">
        <v>333</v>
      </c>
      <c r="E644" t="s">
        <v>242</v>
      </c>
      <c r="F644">
        <v>2</v>
      </c>
      <c r="G644">
        <v>1327</v>
      </c>
      <c r="H644">
        <v>10</v>
      </c>
      <c r="I644" t="s">
        <v>12</v>
      </c>
      <c r="J644" t="s">
        <v>13</v>
      </c>
      <c r="K644" s="6">
        <f t="shared" si="40"/>
        <v>2654</v>
      </c>
      <c r="L644" s="6">
        <f t="shared" si="41"/>
        <v>-23886</v>
      </c>
      <c r="M644" s="6">
        <f>_xlfn.XLOOKUP(E644, Products!A:A, Products!E:E)</f>
        <v>140</v>
      </c>
      <c r="N644" s="6">
        <f t="shared" si="42"/>
        <v>280</v>
      </c>
      <c r="O644" s="8">
        <f t="shared" si="43"/>
        <v>-24166</v>
      </c>
      <c r="Q644" s="8"/>
      <c r="R644" s="8"/>
    </row>
    <row r="645" spans="1:18">
      <c r="A645" s="4">
        <v>100465</v>
      </c>
      <c r="B645" s="1">
        <v>45418</v>
      </c>
      <c r="C645" s="1">
        <v>45301</v>
      </c>
      <c r="D645" t="s">
        <v>355</v>
      </c>
      <c r="E645" t="s">
        <v>152</v>
      </c>
      <c r="F645">
        <v>2</v>
      </c>
      <c r="G645">
        <v>422</v>
      </c>
      <c r="H645">
        <v>15</v>
      </c>
      <c r="I645" t="s">
        <v>12</v>
      </c>
      <c r="J645" t="s">
        <v>22</v>
      </c>
      <c r="K645" s="6">
        <f t="shared" si="40"/>
        <v>844</v>
      </c>
      <c r="L645" s="6">
        <f t="shared" si="41"/>
        <v>-11816</v>
      </c>
      <c r="M645" s="6">
        <f>_xlfn.XLOOKUP(E645, Products!A:A, Products!E:E)</f>
        <v>272</v>
      </c>
      <c r="N645" s="6">
        <f t="shared" si="42"/>
        <v>544</v>
      </c>
      <c r="O645" s="8">
        <f t="shared" si="43"/>
        <v>-12360</v>
      </c>
      <c r="Q645" s="8"/>
      <c r="R645" s="8"/>
    </row>
    <row r="646" spans="1:18">
      <c r="A646" s="4">
        <v>100757</v>
      </c>
      <c r="B646" s="1">
        <v>45415</v>
      </c>
      <c r="C646" s="1">
        <v>45302</v>
      </c>
      <c r="D646" t="s">
        <v>397</v>
      </c>
      <c r="E646" t="s">
        <v>132</v>
      </c>
      <c r="F646">
        <v>2</v>
      </c>
      <c r="G646">
        <v>1672</v>
      </c>
      <c r="H646">
        <v>0</v>
      </c>
      <c r="I646" t="s">
        <v>19</v>
      </c>
      <c r="J646" t="s">
        <v>22</v>
      </c>
      <c r="K646" s="6">
        <f t="shared" si="40"/>
        <v>3344</v>
      </c>
      <c r="L646" s="6">
        <f t="shared" si="41"/>
        <v>3344</v>
      </c>
      <c r="M646" s="6">
        <f>_xlfn.XLOOKUP(E646, Products!A:A, Products!E:E)</f>
        <v>138</v>
      </c>
      <c r="N646" s="6">
        <f t="shared" si="42"/>
        <v>276</v>
      </c>
      <c r="O646" s="8">
        <f t="shared" si="43"/>
        <v>3068</v>
      </c>
      <c r="Q646" s="8"/>
      <c r="R646" s="8"/>
    </row>
    <row r="647" spans="1:18">
      <c r="A647" s="4">
        <v>100155</v>
      </c>
      <c r="B647" s="1">
        <v>45414</v>
      </c>
      <c r="C647" s="1">
        <v>45298</v>
      </c>
      <c r="D647" t="s">
        <v>66</v>
      </c>
      <c r="E647" t="s">
        <v>217</v>
      </c>
      <c r="F647">
        <v>2</v>
      </c>
      <c r="G647">
        <v>785</v>
      </c>
      <c r="H647">
        <v>15</v>
      </c>
      <c r="I647" t="s">
        <v>29</v>
      </c>
      <c r="J647" t="s">
        <v>16</v>
      </c>
      <c r="K647" s="6">
        <f t="shared" si="40"/>
        <v>1570</v>
      </c>
      <c r="L647" s="6">
        <f t="shared" si="41"/>
        <v>-21980</v>
      </c>
      <c r="M647" s="6">
        <f>_xlfn.XLOOKUP(E647, Products!A:A, Products!E:E)</f>
        <v>223</v>
      </c>
      <c r="N647" s="6">
        <f t="shared" si="42"/>
        <v>446</v>
      </c>
      <c r="O647" s="8">
        <f t="shared" si="43"/>
        <v>-22426</v>
      </c>
      <c r="Q647" s="8"/>
      <c r="R647" s="8"/>
    </row>
    <row r="648" spans="1:18">
      <c r="A648" s="4">
        <v>100133</v>
      </c>
      <c r="B648" s="1">
        <v>45414</v>
      </c>
      <c r="C648" s="1">
        <v>45301</v>
      </c>
      <c r="D648" t="s">
        <v>200</v>
      </c>
      <c r="E648" t="s">
        <v>201</v>
      </c>
      <c r="F648">
        <v>2</v>
      </c>
      <c r="G648">
        <v>1860</v>
      </c>
      <c r="H648">
        <v>0</v>
      </c>
      <c r="I648" t="s">
        <v>29</v>
      </c>
      <c r="J648" t="s">
        <v>13</v>
      </c>
      <c r="K648" s="6">
        <f t="shared" si="40"/>
        <v>3720</v>
      </c>
      <c r="L648" s="6">
        <f t="shared" si="41"/>
        <v>3720</v>
      </c>
      <c r="M648" s="6">
        <f>_xlfn.XLOOKUP(E648, Products!A:A, Products!E:E)</f>
        <v>123</v>
      </c>
      <c r="N648" s="6">
        <f t="shared" si="42"/>
        <v>246</v>
      </c>
      <c r="O648" s="8">
        <f t="shared" si="43"/>
        <v>3474</v>
      </c>
      <c r="Q648" s="8"/>
      <c r="R648" s="8"/>
    </row>
    <row r="649" spans="1:18">
      <c r="A649" s="4">
        <v>100281</v>
      </c>
      <c r="B649" s="1">
        <v>45413</v>
      </c>
      <c r="C649" s="1">
        <v>45299</v>
      </c>
      <c r="D649" t="s">
        <v>291</v>
      </c>
      <c r="E649" t="s">
        <v>221</v>
      </c>
      <c r="F649">
        <v>2</v>
      </c>
      <c r="G649">
        <v>1824</v>
      </c>
      <c r="H649">
        <v>10</v>
      </c>
      <c r="I649" t="s">
        <v>29</v>
      </c>
      <c r="J649" t="s">
        <v>13</v>
      </c>
      <c r="K649" s="6">
        <f t="shared" si="40"/>
        <v>3648</v>
      </c>
      <c r="L649" s="6">
        <f t="shared" si="41"/>
        <v>-32832</v>
      </c>
      <c r="M649" s="6">
        <f>_xlfn.XLOOKUP(E649, Products!A:A, Products!E:E)</f>
        <v>208</v>
      </c>
      <c r="N649" s="6">
        <f t="shared" si="42"/>
        <v>416</v>
      </c>
      <c r="O649" s="8">
        <f t="shared" si="43"/>
        <v>-33248</v>
      </c>
      <c r="Q649" s="8"/>
      <c r="R649" s="8"/>
    </row>
    <row r="650" spans="1:18">
      <c r="A650" s="4">
        <v>100610</v>
      </c>
      <c r="B650" s="1">
        <v>45412</v>
      </c>
      <c r="C650" s="1">
        <v>45295</v>
      </c>
      <c r="D650" t="s">
        <v>72</v>
      </c>
      <c r="E650" t="s">
        <v>83</v>
      </c>
      <c r="F650">
        <v>2</v>
      </c>
      <c r="G650">
        <v>921</v>
      </c>
      <c r="H650">
        <v>15</v>
      </c>
      <c r="I650" t="s">
        <v>32</v>
      </c>
      <c r="J650" t="s">
        <v>22</v>
      </c>
      <c r="K650" s="6">
        <f t="shared" si="40"/>
        <v>1842</v>
      </c>
      <c r="L650" s="6">
        <f t="shared" si="41"/>
        <v>-25788</v>
      </c>
      <c r="M650" s="6">
        <f>_xlfn.XLOOKUP(E650, Products!A:A, Products!E:E)</f>
        <v>243</v>
      </c>
      <c r="N650" s="6">
        <f t="shared" si="42"/>
        <v>486</v>
      </c>
      <c r="O650" s="8">
        <f t="shared" si="43"/>
        <v>-26274</v>
      </c>
      <c r="Q650" s="8"/>
      <c r="R650" s="8"/>
    </row>
    <row r="651" spans="1:18">
      <c r="A651" s="4">
        <v>100857</v>
      </c>
      <c r="B651" s="1">
        <v>45410</v>
      </c>
      <c r="C651" s="1">
        <v>45302</v>
      </c>
      <c r="D651" t="s">
        <v>245</v>
      </c>
      <c r="E651" t="s">
        <v>85</v>
      </c>
      <c r="F651">
        <v>2</v>
      </c>
      <c r="G651">
        <v>1749</v>
      </c>
      <c r="H651">
        <v>0</v>
      </c>
      <c r="I651" t="s">
        <v>19</v>
      </c>
      <c r="J651" t="s">
        <v>16</v>
      </c>
      <c r="K651" s="6">
        <f t="shared" si="40"/>
        <v>3498</v>
      </c>
      <c r="L651" s="6">
        <f t="shared" si="41"/>
        <v>3498</v>
      </c>
      <c r="M651" s="6">
        <f>_xlfn.XLOOKUP(E651, Products!A:A, Products!E:E)</f>
        <v>148</v>
      </c>
      <c r="N651" s="6">
        <f t="shared" si="42"/>
        <v>296</v>
      </c>
      <c r="O651" s="8">
        <f t="shared" si="43"/>
        <v>3202</v>
      </c>
      <c r="Q651" s="8"/>
      <c r="R651" s="8"/>
    </row>
    <row r="652" spans="1:18">
      <c r="A652" s="4">
        <v>100859</v>
      </c>
      <c r="B652" s="1">
        <v>45406</v>
      </c>
      <c r="C652" s="1">
        <v>45299</v>
      </c>
      <c r="D652" t="s">
        <v>117</v>
      </c>
      <c r="E652" t="s">
        <v>134</v>
      </c>
      <c r="F652">
        <v>2</v>
      </c>
      <c r="G652">
        <v>1989</v>
      </c>
      <c r="H652">
        <v>10</v>
      </c>
      <c r="I652" t="s">
        <v>12</v>
      </c>
      <c r="J652" t="s">
        <v>16</v>
      </c>
      <c r="K652" s="6">
        <f t="shared" si="40"/>
        <v>3978</v>
      </c>
      <c r="L652" s="6">
        <f t="shared" si="41"/>
        <v>-35802</v>
      </c>
      <c r="M652" s="6">
        <f>_xlfn.XLOOKUP(E652, Products!A:A, Products!E:E)</f>
        <v>179</v>
      </c>
      <c r="N652" s="6">
        <f t="shared" si="42"/>
        <v>358</v>
      </c>
      <c r="O652" s="8">
        <f t="shared" si="43"/>
        <v>-36160</v>
      </c>
      <c r="Q652" s="8"/>
      <c r="R652" s="8"/>
    </row>
    <row r="653" spans="1:18">
      <c r="A653" s="4">
        <v>100970</v>
      </c>
      <c r="B653" s="1">
        <v>45405</v>
      </c>
      <c r="C653" s="1">
        <v>45300</v>
      </c>
      <c r="D653" t="s">
        <v>312</v>
      </c>
      <c r="E653" t="s">
        <v>165</v>
      </c>
      <c r="F653">
        <v>2</v>
      </c>
      <c r="G653">
        <v>751</v>
      </c>
      <c r="H653">
        <v>10</v>
      </c>
      <c r="I653" t="s">
        <v>19</v>
      </c>
      <c r="J653" t="s">
        <v>16</v>
      </c>
      <c r="K653" s="6">
        <f t="shared" si="40"/>
        <v>1502</v>
      </c>
      <c r="L653" s="6">
        <f t="shared" si="41"/>
        <v>-13518</v>
      </c>
      <c r="M653" s="6">
        <f>_xlfn.XLOOKUP(E653, Products!A:A, Products!E:E)</f>
        <v>241</v>
      </c>
      <c r="N653" s="6">
        <f t="shared" si="42"/>
        <v>482</v>
      </c>
      <c r="O653" s="8">
        <f t="shared" si="43"/>
        <v>-14000</v>
      </c>
      <c r="Q653" s="8"/>
      <c r="R653" s="8"/>
    </row>
    <row r="654" spans="1:18">
      <c r="A654" s="4">
        <v>100555</v>
      </c>
      <c r="B654" s="1">
        <v>45404</v>
      </c>
      <c r="C654" s="1">
        <v>45302</v>
      </c>
      <c r="D654" t="s">
        <v>159</v>
      </c>
      <c r="E654" t="s">
        <v>298</v>
      </c>
      <c r="F654">
        <v>2</v>
      </c>
      <c r="G654">
        <v>828</v>
      </c>
      <c r="H654">
        <v>10</v>
      </c>
      <c r="I654" t="s">
        <v>19</v>
      </c>
      <c r="J654" t="s">
        <v>13</v>
      </c>
      <c r="K654" s="6">
        <f t="shared" si="40"/>
        <v>1656</v>
      </c>
      <c r="L654" s="6">
        <f t="shared" si="41"/>
        <v>-14904</v>
      </c>
      <c r="M654" s="6">
        <f>_xlfn.XLOOKUP(E654, Products!A:A, Products!E:E)</f>
        <v>171</v>
      </c>
      <c r="N654" s="6">
        <f t="shared" si="42"/>
        <v>342</v>
      </c>
      <c r="O654" s="8">
        <f t="shared" si="43"/>
        <v>-15246</v>
      </c>
      <c r="Q654" s="8"/>
      <c r="R654" s="8"/>
    </row>
    <row r="655" spans="1:18">
      <c r="A655" s="4">
        <v>100616</v>
      </c>
      <c r="B655" s="1">
        <v>45404</v>
      </c>
      <c r="C655" s="1">
        <v>45295</v>
      </c>
      <c r="D655" t="s">
        <v>88</v>
      </c>
      <c r="E655" t="s">
        <v>68</v>
      </c>
      <c r="F655">
        <v>2</v>
      </c>
      <c r="G655">
        <v>1477</v>
      </c>
      <c r="H655">
        <v>15</v>
      </c>
      <c r="I655" t="s">
        <v>29</v>
      </c>
      <c r="J655" t="s">
        <v>22</v>
      </c>
      <c r="K655" s="6">
        <f t="shared" si="40"/>
        <v>2954</v>
      </c>
      <c r="L655" s="6">
        <f t="shared" si="41"/>
        <v>-41356</v>
      </c>
      <c r="M655" s="6">
        <f>_xlfn.XLOOKUP(E655, Products!A:A, Products!E:E)</f>
        <v>295</v>
      </c>
      <c r="N655" s="6">
        <f t="shared" si="42"/>
        <v>590</v>
      </c>
      <c r="O655" s="8">
        <f t="shared" si="43"/>
        <v>-41946</v>
      </c>
      <c r="Q655" s="8"/>
      <c r="R655" s="8"/>
    </row>
    <row r="656" spans="1:18">
      <c r="A656" s="4">
        <v>100756</v>
      </c>
      <c r="B656" s="1">
        <v>45403</v>
      </c>
      <c r="C656" s="1">
        <v>45294</v>
      </c>
      <c r="D656" t="s">
        <v>109</v>
      </c>
      <c r="E656" t="s">
        <v>34</v>
      </c>
      <c r="F656">
        <v>2</v>
      </c>
      <c r="G656">
        <v>484</v>
      </c>
      <c r="H656">
        <v>10</v>
      </c>
      <c r="I656" t="s">
        <v>29</v>
      </c>
      <c r="J656" t="s">
        <v>22</v>
      </c>
      <c r="K656" s="6">
        <f t="shared" si="40"/>
        <v>968</v>
      </c>
      <c r="L656" s="6">
        <f t="shared" si="41"/>
        <v>-8712</v>
      </c>
      <c r="M656" s="6">
        <f>_xlfn.XLOOKUP(E656, Products!A:A, Products!E:E)</f>
        <v>187</v>
      </c>
      <c r="N656" s="6">
        <f t="shared" si="42"/>
        <v>374</v>
      </c>
      <c r="O656" s="8">
        <f t="shared" si="43"/>
        <v>-9086</v>
      </c>
      <c r="Q656" s="8"/>
      <c r="R656" s="8"/>
    </row>
    <row r="657" spans="1:18">
      <c r="A657" s="4">
        <v>100313</v>
      </c>
      <c r="B657" s="1">
        <v>45400</v>
      </c>
      <c r="C657" s="1">
        <v>45298</v>
      </c>
      <c r="D657" t="s">
        <v>301</v>
      </c>
      <c r="E657" t="s">
        <v>302</v>
      </c>
      <c r="F657">
        <v>2</v>
      </c>
      <c r="G657">
        <v>754</v>
      </c>
      <c r="H657">
        <v>15</v>
      </c>
      <c r="I657" t="s">
        <v>12</v>
      </c>
      <c r="J657" t="s">
        <v>13</v>
      </c>
      <c r="K657" s="6">
        <f t="shared" si="40"/>
        <v>1508</v>
      </c>
      <c r="L657" s="6">
        <f t="shared" si="41"/>
        <v>-21112</v>
      </c>
      <c r="M657" s="6">
        <f>_xlfn.XLOOKUP(E657, Products!A:A, Products!E:E)</f>
        <v>175</v>
      </c>
      <c r="N657" s="6">
        <f t="shared" si="42"/>
        <v>350</v>
      </c>
      <c r="O657" s="8">
        <f t="shared" si="43"/>
        <v>-21462</v>
      </c>
      <c r="Q657" s="8"/>
      <c r="R657" s="8"/>
    </row>
    <row r="658" spans="1:18">
      <c r="A658" s="4">
        <v>100550</v>
      </c>
      <c r="B658" s="1">
        <v>45399</v>
      </c>
      <c r="C658" s="1">
        <v>45296</v>
      </c>
      <c r="D658" t="s">
        <v>239</v>
      </c>
      <c r="E658" t="s">
        <v>176</v>
      </c>
      <c r="F658">
        <v>2</v>
      </c>
      <c r="G658">
        <v>805</v>
      </c>
      <c r="H658">
        <v>15</v>
      </c>
      <c r="I658" t="s">
        <v>32</v>
      </c>
      <c r="J658" t="s">
        <v>13</v>
      </c>
      <c r="K658" s="6">
        <f t="shared" si="40"/>
        <v>1610</v>
      </c>
      <c r="L658" s="6">
        <f t="shared" si="41"/>
        <v>-22540</v>
      </c>
      <c r="M658" s="6">
        <f>_xlfn.XLOOKUP(E658, Products!A:A, Products!E:E)</f>
        <v>61</v>
      </c>
      <c r="N658" s="6">
        <f t="shared" si="42"/>
        <v>122</v>
      </c>
      <c r="O658" s="8">
        <f t="shared" si="43"/>
        <v>-22662</v>
      </c>
      <c r="Q658" s="8"/>
      <c r="R658" s="8"/>
    </row>
    <row r="659" spans="1:18">
      <c r="A659" s="4">
        <v>100578</v>
      </c>
      <c r="B659" s="1">
        <v>45398</v>
      </c>
      <c r="C659" s="1">
        <v>45298</v>
      </c>
      <c r="D659" t="s">
        <v>17</v>
      </c>
      <c r="E659" t="s">
        <v>44</v>
      </c>
      <c r="F659">
        <v>2</v>
      </c>
      <c r="G659">
        <v>1574</v>
      </c>
      <c r="H659">
        <v>10</v>
      </c>
      <c r="I659" t="s">
        <v>19</v>
      </c>
      <c r="J659" t="s">
        <v>13</v>
      </c>
      <c r="K659" s="6">
        <f t="shared" si="40"/>
        <v>3148</v>
      </c>
      <c r="L659" s="6">
        <f t="shared" si="41"/>
        <v>-28332</v>
      </c>
      <c r="M659" s="6">
        <f>_xlfn.XLOOKUP(E659, Products!A:A, Products!E:E)</f>
        <v>204</v>
      </c>
      <c r="N659" s="6">
        <f t="shared" si="42"/>
        <v>408</v>
      </c>
      <c r="O659" s="8">
        <f t="shared" si="43"/>
        <v>-28740</v>
      </c>
      <c r="Q659" s="8"/>
      <c r="R659" s="8"/>
    </row>
    <row r="660" spans="1:18">
      <c r="A660" s="4">
        <v>100178</v>
      </c>
      <c r="B660" s="1">
        <v>45398</v>
      </c>
      <c r="C660" s="1">
        <v>45295</v>
      </c>
      <c r="D660" t="s">
        <v>229</v>
      </c>
      <c r="E660" t="s">
        <v>167</v>
      </c>
      <c r="F660">
        <v>2</v>
      </c>
      <c r="G660">
        <v>1739</v>
      </c>
      <c r="H660">
        <v>10</v>
      </c>
      <c r="I660" t="s">
        <v>12</v>
      </c>
      <c r="J660" t="s">
        <v>13</v>
      </c>
      <c r="K660" s="6">
        <f t="shared" si="40"/>
        <v>3478</v>
      </c>
      <c r="L660" s="6">
        <f t="shared" si="41"/>
        <v>-31302</v>
      </c>
      <c r="M660" s="6">
        <f>_xlfn.XLOOKUP(E660, Products!A:A, Products!E:E)</f>
        <v>181</v>
      </c>
      <c r="N660" s="6">
        <f t="shared" si="42"/>
        <v>362</v>
      </c>
      <c r="O660" s="8">
        <f t="shared" si="43"/>
        <v>-31664</v>
      </c>
      <c r="Q660" s="8"/>
      <c r="R660" s="8"/>
    </row>
    <row r="661" spans="1:18">
      <c r="A661" s="4">
        <v>100646</v>
      </c>
      <c r="B661" s="1">
        <v>45397</v>
      </c>
      <c r="C661" s="1">
        <v>45300</v>
      </c>
      <c r="D661" t="s">
        <v>237</v>
      </c>
      <c r="E661" t="s">
        <v>236</v>
      </c>
      <c r="F661">
        <v>2</v>
      </c>
      <c r="G661">
        <v>1304</v>
      </c>
      <c r="H661">
        <v>10</v>
      </c>
      <c r="I661" t="s">
        <v>19</v>
      </c>
      <c r="J661" t="s">
        <v>13</v>
      </c>
      <c r="K661" s="6">
        <f t="shared" si="40"/>
        <v>2608</v>
      </c>
      <c r="L661" s="6">
        <f t="shared" si="41"/>
        <v>-23472</v>
      </c>
      <c r="M661" s="6">
        <f>_xlfn.XLOOKUP(E661, Products!A:A, Products!E:E)</f>
        <v>120</v>
      </c>
      <c r="N661" s="6">
        <f t="shared" si="42"/>
        <v>240</v>
      </c>
      <c r="O661" s="8">
        <f t="shared" si="43"/>
        <v>-23712</v>
      </c>
      <c r="Q661" s="8"/>
      <c r="R661" s="8"/>
    </row>
    <row r="662" spans="1:18">
      <c r="A662" s="4">
        <v>100518</v>
      </c>
      <c r="B662" s="1">
        <v>45395</v>
      </c>
      <c r="C662" s="1">
        <v>45300</v>
      </c>
      <c r="D662" t="s">
        <v>94</v>
      </c>
      <c r="E662" t="s">
        <v>107</v>
      </c>
      <c r="F662">
        <v>2</v>
      </c>
      <c r="G662">
        <v>1323</v>
      </c>
      <c r="H662">
        <v>5</v>
      </c>
      <c r="I662" t="s">
        <v>29</v>
      </c>
      <c r="J662" t="s">
        <v>22</v>
      </c>
      <c r="K662" s="6">
        <f t="shared" si="40"/>
        <v>2646</v>
      </c>
      <c r="L662" s="6">
        <f t="shared" si="41"/>
        <v>-10584</v>
      </c>
      <c r="M662" s="6">
        <f>_xlfn.XLOOKUP(E662, Products!A:A, Products!E:E)</f>
        <v>232</v>
      </c>
      <c r="N662" s="6">
        <f t="shared" si="42"/>
        <v>464</v>
      </c>
      <c r="O662" s="8">
        <f t="shared" si="43"/>
        <v>-11048</v>
      </c>
      <c r="Q662" s="8"/>
      <c r="R662" s="8"/>
    </row>
    <row r="663" spans="1:18">
      <c r="A663" s="4">
        <v>100306</v>
      </c>
      <c r="B663" s="1">
        <v>45395</v>
      </c>
      <c r="C663" s="1">
        <v>45298</v>
      </c>
      <c r="D663" t="s">
        <v>214</v>
      </c>
      <c r="E663" t="s">
        <v>34</v>
      </c>
      <c r="F663">
        <v>2</v>
      </c>
      <c r="G663">
        <v>1083</v>
      </c>
      <c r="H663">
        <v>10</v>
      </c>
      <c r="I663" t="s">
        <v>12</v>
      </c>
      <c r="J663" t="s">
        <v>16</v>
      </c>
      <c r="K663" s="6">
        <f t="shared" si="40"/>
        <v>2166</v>
      </c>
      <c r="L663" s="6">
        <f t="shared" si="41"/>
        <v>-19494</v>
      </c>
      <c r="M663" s="6">
        <f>_xlfn.XLOOKUP(E663, Products!A:A, Products!E:E)</f>
        <v>187</v>
      </c>
      <c r="N663" s="6">
        <f t="shared" si="42"/>
        <v>374</v>
      </c>
      <c r="O663" s="8">
        <f t="shared" si="43"/>
        <v>-19868</v>
      </c>
      <c r="Q663" s="8"/>
      <c r="R663" s="8"/>
    </row>
    <row r="664" spans="1:18">
      <c r="A664" s="4">
        <v>100496</v>
      </c>
      <c r="B664" s="1">
        <v>45394</v>
      </c>
      <c r="C664" s="1">
        <v>45299</v>
      </c>
      <c r="D664" t="s">
        <v>328</v>
      </c>
      <c r="E664" t="s">
        <v>99</v>
      </c>
      <c r="F664">
        <v>2</v>
      </c>
      <c r="G664">
        <v>901</v>
      </c>
      <c r="H664">
        <v>15</v>
      </c>
      <c r="I664" t="s">
        <v>29</v>
      </c>
      <c r="J664" t="s">
        <v>16</v>
      </c>
      <c r="K664" s="6">
        <f t="shared" si="40"/>
        <v>1802</v>
      </c>
      <c r="L664" s="6">
        <f t="shared" si="41"/>
        <v>-25228</v>
      </c>
      <c r="M664" s="6">
        <f>_xlfn.XLOOKUP(E664, Products!A:A, Products!E:E)</f>
        <v>145</v>
      </c>
      <c r="N664" s="6">
        <f t="shared" si="42"/>
        <v>290</v>
      </c>
      <c r="O664" s="8">
        <f t="shared" si="43"/>
        <v>-25518</v>
      </c>
      <c r="Q664" s="8"/>
      <c r="R664" s="8"/>
    </row>
    <row r="665" spans="1:18">
      <c r="A665" s="4">
        <v>100439</v>
      </c>
      <c r="B665" s="1">
        <v>45394</v>
      </c>
      <c r="C665" s="1">
        <v>45302</v>
      </c>
      <c r="D665" t="s">
        <v>113</v>
      </c>
      <c r="E665" t="s">
        <v>201</v>
      </c>
      <c r="F665">
        <v>2</v>
      </c>
      <c r="G665">
        <v>1810</v>
      </c>
      <c r="H665">
        <v>5</v>
      </c>
      <c r="I665" t="s">
        <v>29</v>
      </c>
      <c r="J665" t="s">
        <v>16</v>
      </c>
      <c r="K665" s="6">
        <f t="shared" si="40"/>
        <v>3620</v>
      </c>
      <c r="L665" s="6">
        <f t="shared" si="41"/>
        <v>-14480</v>
      </c>
      <c r="M665" s="6">
        <f>_xlfn.XLOOKUP(E665, Products!A:A, Products!E:E)</f>
        <v>123</v>
      </c>
      <c r="N665" s="6">
        <f t="shared" si="42"/>
        <v>246</v>
      </c>
      <c r="O665" s="8">
        <f t="shared" si="43"/>
        <v>-14726</v>
      </c>
      <c r="Q665" s="8"/>
      <c r="R665" s="8"/>
    </row>
    <row r="666" spans="1:18">
      <c r="A666" s="4">
        <v>100308</v>
      </c>
      <c r="B666" s="1">
        <v>45394</v>
      </c>
      <c r="C666" s="1">
        <v>45295</v>
      </c>
      <c r="D666" t="s">
        <v>160</v>
      </c>
      <c r="E666" t="s">
        <v>242</v>
      </c>
      <c r="F666">
        <v>2</v>
      </c>
      <c r="G666">
        <v>991</v>
      </c>
      <c r="H666">
        <v>10</v>
      </c>
      <c r="I666" t="s">
        <v>12</v>
      </c>
      <c r="J666" t="s">
        <v>26</v>
      </c>
      <c r="K666" s="6">
        <f t="shared" si="40"/>
        <v>1982</v>
      </c>
      <c r="L666" s="6">
        <f t="shared" si="41"/>
        <v>-17838</v>
      </c>
      <c r="M666" s="6">
        <f>_xlfn.XLOOKUP(E666, Products!A:A, Products!E:E)</f>
        <v>140</v>
      </c>
      <c r="N666" s="6">
        <f t="shared" si="42"/>
        <v>280</v>
      </c>
      <c r="O666" s="8">
        <f t="shared" si="43"/>
        <v>-18118</v>
      </c>
      <c r="Q666" s="8"/>
      <c r="R666" s="8"/>
    </row>
    <row r="667" spans="1:18">
      <c r="A667" s="4">
        <v>100115</v>
      </c>
      <c r="B667" s="1">
        <v>45393</v>
      </c>
      <c r="C667" s="1">
        <v>45296</v>
      </c>
      <c r="D667" t="s">
        <v>23</v>
      </c>
      <c r="E667" t="s">
        <v>183</v>
      </c>
      <c r="F667">
        <v>2</v>
      </c>
      <c r="G667">
        <v>1330</v>
      </c>
      <c r="H667">
        <v>5</v>
      </c>
      <c r="I667" t="s">
        <v>29</v>
      </c>
      <c r="J667" t="s">
        <v>22</v>
      </c>
      <c r="K667" s="6">
        <f t="shared" si="40"/>
        <v>2660</v>
      </c>
      <c r="L667" s="6">
        <f t="shared" si="41"/>
        <v>-10640</v>
      </c>
      <c r="M667" s="6">
        <f>_xlfn.XLOOKUP(E667, Products!A:A, Products!E:E)</f>
        <v>55</v>
      </c>
      <c r="N667" s="6">
        <f t="shared" si="42"/>
        <v>110</v>
      </c>
      <c r="O667" s="8">
        <f t="shared" si="43"/>
        <v>-10750</v>
      </c>
      <c r="Q667" s="8"/>
      <c r="R667" s="8"/>
    </row>
    <row r="668" spans="1:18">
      <c r="A668" s="4">
        <v>100726</v>
      </c>
      <c r="B668" s="1">
        <v>45393</v>
      </c>
      <c r="C668" s="1">
        <v>45300</v>
      </c>
      <c r="D668" t="s">
        <v>211</v>
      </c>
      <c r="E668" t="s">
        <v>152</v>
      </c>
      <c r="F668">
        <v>2</v>
      </c>
      <c r="G668">
        <v>1704</v>
      </c>
      <c r="H668">
        <v>0</v>
      </c>
      <c r="I668" t="s">
        <v>12</v>
      </c>
      <c r="J668" t="s">
        <v>22</v>
      </c>
      <c r="K668" s="6">
        <f t="shared" si="40"/>
        <v>3408</v>
      </c>
      <c r="L668" s="6">
        <f t="shared" si="41"/>
        <v>3408</v>
      </c>
      <c r="M668" s="6">
        <f>_xlfn.XLOOKUP(E668, Products!A:A, Products!E:E)</f>
        <v>272</v>
      </c>
      <c r="N668" s="6">
        <f t="shared" si="42"/>
        <v>544</v>
      </c>
      <c r="O668" s="8">
        <f t="shared" si="43"/>
        <v>2864</v>
      </c>
      <c r="Q668" s="8"/>
      <c r="R668" s="8"/>
    </row>
    <row r="669" spans="1:18">
      <c r="A669" s="4">
        <v>100321</v>
      </c>
      <c r="B669" s="1">
        <v>45392</v>
      </c>
      <c r="C669" s="1">
        <v>45294</v>
      </c>
      <c r="D669" t="s">
        <v>60</v>
      </c>
      <c r="E669" t="s">
        <v>206</v>
      </c>
      <c r="F669">
        <v>2</v>
      </c>
      <c r="G669">
        <v>1264</v>
      </c>
      <c r="H669">
        <v>15</v>
      </c>
      <c r="I669" t="s">
        <v>19</v>
      </c>
      <c r="J669" t="s">
        <v>13</v>
      </c>
      <c r="K669" s="6">
        <f t="shared" si="40"/>
        <v>2528</v>
      </c>
      <c r="L669" s="6">
        <f t="shared" si="41"/>
        <v>-35392</v>
      </c>
      <c r="M669" s="6">
        <f>_xlfn.XLOOKUP(E669, Products!A:A, Products!E:E)</f>
        <v>50</v>
      </c>
      <c r="N669" s="6">
        <f t="shared" si="42"/>
        <v>100</v>
      </c>
      <c r="O669" s="8">
        <f t="shared" si="43"/>
        <v>-35492</v>
      </c>
      <c r="Q669" s="8"/>
      <c r="R669" s="8"/>
    </row>
    <row r="670" spans="1:18">
      <c r="A670" s="4">
        <v>100387</v>
      </c>
      <c r="B670" s="1">
        <v>45392</v>
      </c>
      <c r="C670" s="1">
        <v>45295</v>
      </c>
      <c r="D670" t="s">
        <v>294</v>
      </c>
      <c r="E670" t="s">
        <v>331</v>
      </c>
      <c r="F670">
        <v>2</v>
      </c>
      <c r="G670">
        <v>779</v>
      </c>
      <c r="H670">
        <v>5</v>
      </c>
      <c r="I670" t="s">
        <v>32</v>
      </c>
      <c r="J670" t="s">
        <v>16</v>
      </c>
      <c r="K670" s="6">
        <f t="shared" si="40"/>
        <v>1558</v>
      </c>
      <c r="L670" s="6">
        <f t="shared" si="41"/>
        <v>-6232</v>
      </c>
      <c r="M670" s="6">
        <f>_xlfn.XLOOKUP(E670, Products!A:A, Products!E:E)</f>
        <v>128</v>
      </c>
      <c r="N670" s="6">
        <f t="shared" si="42"/>
        <v>256</v>
      </c>
      <c r="O670" s="8">
        <f t="shared" si="43"/>
        <v>-6488</v>
      </c>
      <c r="Q670" s="8"/>
      <c r="R670" s="8"/>
    </row>
    <row r="671" spans="1:18">
      <c r="A671" s="4">
        <v>100302</v>
      </c>
      <c r="B671" s="1">
        <v>45390</v>
      </c>
      <c r="C671" s="1">
        <v>45298</v>
      </c>
      <c r="D671" t="s">
        <v>153</v>
      </c>
      <c r="E671" t="s">
        <v>61</v>
      </c>
      <c r="F671">
        <v>2</v>
      </c>
      <c r="G671">
        <v>605</v>
      </c>
      <c r="H671">
        <v>0</v>
      </c>
      <c r="I671" t="s">
        <v>32</v>
      </c>
      <c r="J671" t="s">
        <v>22</v>
      </c>
      <c r="K671" s="6">
        <f t="shared" si="40"/>
        <v>1210</v>
      </c>
      <c r="L671" s="6">
        <f t="shared" si="41"/>
        <v>1210</v>
      </c>
      <c r="M671" s="6">
        <f>_xlfn.XLOOKUP(E671, Products!A:A, Products!E:E)</f>
        <v>65</v>
      </c>
      <c r="N671" s="6">
        <f t="shared" si="42"/>
        <v>130</v>
      </c>
      <c r="O671" s="8">
        <f t="shared" si="43"/>
        <v>1080</v>
      </c>
      <c r="Q671" s="8"/>
      <c r="R671" s="8"/>
    </row>
    <row r="672" spans="1:18">
      <c r="A672" s="4">
        <v>100483</v>
      </c>
      <c r="B672" s="1">
        <v>45389</v>
      </c>
      <c r="C672" s="1">
        <v>45300</v>
      </c>
      <c r="D672" t="s">
        <v>358</v>
      </c>
      <c r="E672" t="s">
        <v>281</v>
      </c>
      <c r="F672">
        <v>2</v>
      </c>
      <c r="G672">
        <v>1738</v>
      </c>
      <c r="H672">
        <v>0</v>
      </c>
      <c r="I672" t="s">
        <v>32</v>
      </c>
      <c r="J672" t="s">
        <v>13</v>
      </c>
      <c r="K672" s="6">
        <f t="shared" si="40"/>
        <v>3476</v>
      </c>
      <c r="L672" s="6">
        <f t="shared" si="41"/>
        <v>3476</v>
      </c>
      <c r="M672" s="6">
        <f>_xlfn.XLOOKUP(E672, Products!A:A, Products!E:E)</f>
        <v>117</v>
      </c>
      <c r="N672" s="6">
        <f t="shared" si="42"/>
        <v>234</v>
      </c>
      <c r="O672" s="8">
        <f t="shared" si="43"/>
        <v>3242</v>
      </c>
      <c r="Q672" s="8"/>
      <c r="R672" s="8"/>
    </row>
    <row r="673" spans="1:18">
      <c r="A673" s="4">
        <v>100644</v>
      </c>
      <c r="B673" s="1">
        <v>45388</v>
      </c>
      <c r="C673" s="1">
        <v>45300</v>
      </c>
      <c r="D673" t="s">
        <v>341</v>
      </c>
      <c r="E673" t="s">
        <v>77</v>
      </c>
      <c r="F673">
        <v>2</v>
      </c>
      <c r="G673">
        <v>1635</v>
      </c>
      <c r="H673">
        <v>10</v>
      </c>
      <c r="I673" t="s">
        <v>19</v>
      </c>
      <c r="J673" t="s">
        <v>22</v>
      </c>
      <c r="K673" s="6">
        <f t="shared" si="40"/>
        <v>3270</v>
      </c>
      <c r="L673" s="6">
        <f t="shared" si="41"/>
        <v>-29430</v>
      </c>
      <c r="M673" s="6">
        <f>_xlfn.XLOOKUP(E673, Products!A:A, Products!E:E)</f>
        <v>94</v>
      </c>
      <c r="N673" s="6">
        <f t="shared" si="42"/>
        <v>188</v>
      </c>
      <c r="O673" s="8">
        <f t="shared" si="43"/>
        <v>-29618</v>
      </c>
      <c r="Q673" s="8"/>
      <c r="R673" s="8"/>
    </row>
    <row r="674" spans="1:18">
      <c r="A674" s="4">
        <v>100568</v>
      </c>
      <c r="B674" s="1">
        <v>45387</v>
      </c>
      <c r="C674" s="1">
        <v>45299</v>
      </c>
      <c r="D674" t="s">
        <v>157</v>
      </c>
      <c r="E674" t="s">
        <v>144</v>
      </c>
      <c r="F674">
        <v>2</v>
      </c>
      <c r="G674">
        <v>682</v>
      </c>
      <c r="H674">
        <v>5</v>
      </c>
      <c r="I674" t="s">
        <v>19</v>
      </c>
      <c r="J674" t="s">
        <v>13</v>
      </c>
      <c r="K674" s="6">
        <f t="shared" si="40"/>
        <v>1364</v>
      </c>
      <c r="L674" s="6">
        <f t="shared" si="41"/>
        <v>-5456</v>
      </c>
      <c r="M674" s="6">
        <f>_xlfn.XLOOKUP(E674, Products!A:A, Products!E:E)</f>
        <v>247</v>
      </c>
      <c r="N674" s="6">
        <f t="shared" si="42"/>
        <v>494</v>
      </c>
      <c r="O674" s="8">
        <f t="shared" si="43"/>
        <v>-5950</v>
      </c>
      <c r="Q674" s="8"/>
      <c r="R674" s="8"/>
    </row>
    <row r="675" spans="1:18">
      <c r="A675" s="4">
        <v>100424</v>
      </c>
      <c r="B675" s="1">
        <v>45386</v>
      </c>
      <c r="C675" s="1">
        <v>45302</v>
      </c>
      <c r="D675" t="s">
        <v>45</v>
      </c>
      <c r="E675" t="s">
        <v>331</v>
      </c>
      <c r="F675">
        <v>2</v>
      </c>
      <c r="G675">
        <v>1397</v>
      </c>
      <c r="H675">
        <v>5</v>
      </c>
      <c r="I675" t="s">
        <v>12</v>
      </c>
      <c r="J675" t="s">
        <v>13</v>
      </c>
      <c r="K675" s="6">
        <f t="shared" si="40"/>
        <v>2794</v>
      </c>
      <c r="L675" s="6">
        <f t="shared" si="41"/>
        <v>-11176</v>
      </c>
      <c r="M675" s="6">
        <f>_xlfn.XLOOKUP(E675, Products!A:A, Products!E:E)</f>
        <v>128</v>
      </c>
      <c r="N675" s="6">
        <f t="shared" si="42"/>
        <v>256</v>
      </c>
      <c r="O675" s="8">
        <f t="shared" si="43"/>
        <v>-11432</v>
      </c>
      <c r="Q675" s="8"/>
      <c r="R675" s="8"/>
    </row>
    <row r="676" spans="1:18">
      <c r="A676" s="4">
        <v>100129</v>
      </c>
      <c r="B676" s="1">
        <v>45385</v>
      </c>
      <c r="C676" s="1">
        <v>45301</v>
      </c>
      <c r="D676" t="s">
        <v>196</v>
      </c>
      <c r="E676" t="s">
        <v>197</v>
      </c>
      <c r="F676">
        <v>2</v>
      </c>
      <c r="G676">
        <v>246</v>
      </c>
      <c r="H676">
        <v>0</v>
      </c>
      <c r="I676" t="s">
        <v>12</v>
      </c>
      <c r="J676" t="s">
        <v>22</v>
      </c>
      <c r="K676" s="6">
        <f t="shared" si="40"/>
        <v>492</v>
      </c>
      <c r="L676" s="6">
        <f t="shared" si="41"/>
        <v>492</v>
      </c>
      <c r="M676" s="6">
        <f>_xlfn.XLOOKUP(E676, Products!A:A, Products!E:E)</f>
        <v>236</v>
      </c>
      <c r="N676" s="6">
        <f t="shared" si="42"/>
        <v>472</v>
      </c>
      <c r="O676" s="8">
        <f t="shared" si="43"/>
        <v>20</v>
      </c>
      <c r="Q676" s="8"/>
      <c r="R676" s="8"/>
    </row>
    <row r="677" spans="1:18">
      <c r="A677" s="4">
        <v>100334</v>
      </c>
      <c r="B677" s="1">
        <v>45384</v>
      </c>
      <c r="C677" s="1">
        <v>45302</v>
      </c>
      <c r="D677" t="s">
        <v>122</v>
      </c>
      <c r="E677" t="s">
        <v>39</v>
      </c>
      <c r="F677">
        <v>2</v>
      </c>
      <c r="G677">
        <v>1968</v>
      </c>
      <c r="H677">
        <v>5</v>
      </c>
      <c r="I677" t="s">
        <v>32</v>
      </c>
      <c r="J677" t="s">
        <v>16</v>
      </c>
      <c r="K677" s="6">
        <f t="shared" si="40"/>
        <v>3936</v>
      </c>
      <c r="L677" s="6">
        <f t="shared" si="41"/>
        <v>-15744</v>
      </c>
      <c r="M677" s="6">
        <f>_xlfn.XLOOKUP(E677, Products!A:A, Products!E:E)</f>
        <v>238</v>
      </c>
      <c r="N677" s="6">
        <f t="shared" si="42"/>
        <v>476</v>
      </c>
      <c r="O677" s="8">
        <f t="shared" si="43"/>
        <v>-16220</v>
      </c>
      <c r="Q677" s="8"/>
      <c r="R677" s="8"/>
    </row>
    <row r="678" spans="1:18">
      <c r="A678" s="4">
        <v>100688</v>
      </c>
      <c r="B678" s="1">
        <v>45384</v>
      </c>
      <c r="C678" s="1">
        <v>45299</v>
      </c>
      <c r="D678" t="s">
        <v>153</v>
      </c>
      <c r="E678" t="s">
        <v>53</v>
      </c>
      <c r="F678">
        <v>2</v>
      </c>
      <c r="G678">
        <v>438</v>
      </c>
      <c r="H678">
        <v>5</v>
      </c>
      <c r="I678" t="s">
        <v>32</v>
      </c>
      <c r="J678" t="s">
        <v>26</v>
      </c>
      <c r="K678" s="6">
        <f t="shared" si="40"/>
        <v>876</v>
      </c>
      <c r="L678" s="6">
        <f t="shared" si="41"/>
        <v>-3504</v>
      </c>
      <c r="M678" s="6">
        <f>_xlfn.XLOOKUP(E678, Products!A:A, Products!E:E)</f>
        <v>140</v>
      </c>
      <c r="N678" s="6">
        <f t="shared" si="42"/>
        <v>280</v>
      </c>
      <c r="O678" s="8">
        <f t="shared" si="43"/>
        <v>-3784</v>
      </c>
      <c r="Q678" s="8"/>
      <c r="R678" s="8"/>
    </row>
    <row r="679" spans="1:18">
      <c r="A679" s="4">
        <v>100159</v>
      </c>
      <c r="B679" s="1">
        <v>45383</v>
      </c>
      <c r="C679" s="1">
        <v>45300</v>
      </c>
      <c r="D679" t="s">
        <v>14</v>
      </c>
      <c r="E679" t="s">
        <v>75</v>
      </c>
      <c r="F679">
        <v>2</v>
      </c>
      <c r="G679">
        <v>742</v>
      </c>
      <c r="H679">
        <v>15</v>
      </c>
      <c r="I679" t="s">
        <v>19</v>
      </c>
      <c r="J679" t="s">
        <v>16</v>
      </c>
      <c r="K679" s="6">
        <f t="shared" si="40"/>
        <v>1484</v>
      </c>
      <c r="L679" s="6">
        <f t="shared" si="41"/>
        <v>-20776</v>
      </c>
      <c r="M679" s="6">
        <f>_xlfn.XLOOKUP(E679, Products!A:A, Products!E:E)</f>
        <v>70</v>
      </c>
      <c r="N679" s="6">
        <f t="shared" si="42"/>
        <v>140</v>
      </c>
      <c r="O679" s="8">
        <f t="shared" si="43"/>
        <v>-20916</v>
      </c>
      <c r="Q679" s="8"/>
      <c r="R679" s="8"/>
    </row>
    <row r="680" spans="1:18">
      <c r="A680" s="4">
        <v>100813</v>
      </c>
      <c r="B680" s="1">
        <v>45381</v>
      </c>
      <c r="C680" s="1">
        <v>45296</v>
      </c>
      <c r="D680" t="s">
        <v>184</v>
      </c>
      <c r="E680" t="s">
        <v>217</v>
      </c>
      <c r="F680">
        <v>2</v>
      </c>
      <c r="G680">
        <v>1037</v>
      </c>
      <c r="H680">
        <v>10</v>
      </c>
      <c r="I680" t="s">
        <v>32</v>
      </c>
      <c r="J680" t="s">
        <v>16</v>
      </c>
      <c r="K680" s="6">
        <f t="shared" si="40"/>
        <v>2074</v>
      </c>
      <c r="L680" s="6">
        <f t="shared" si="41"/>
        <v>-18666</v>
      </c>
      <c r="M680" s="6">
        <f>_xlfn.XLOOKUP(E680, Products!A:A, Products!E:E)</f>
        <v>223</v>
      </c>
      <c r="N680" s="6">
        <f t="shared" si="42"/>
        <v>446</v>
      </c>
      <c r="O680" s="8">
        <f t="shared" si="43"/>
        <v>-19112</v>
      </c>
      <c r="Q680" s="8"/>
      <c r="R680" s="8"/>
    </row>
    <row r="681" spans="1:18">
      <c r="A681" s="4">
        <v>100482</v>
      </c>
      <c r="B681" s="1">
        <v>45378</v>
      </c>
      <c r="C681" s="1">
        <v>45302</v>
      </c>
      <c r="D681" t="s">
        <v>163</v>
      </c>
      <c r="E681" t="s">
        <v>209</v>
      </c>
      <c r="F681">
        <v>2</v>
      </c>
      <c r="G681">
        <v>1604</v>
      </c>
      <c r="H681">
        <v>15</v>
      </c>
      <c r="I681" t="s">
        <v>29</v>
      </c>
      <c r="J681" t="s">
        <v>22</v>
      </c>
      <c r="K681" s="6">
        <f t="shared" si="40"/>
        <v>3208</v>
      </c>
      <c r="L681" s="6">
        <f t="shared" si="41"/>
        <v>-44912</v>
      </c>
      <c r="M681" s="6">
        <f>_xlfn.XLOOKUP(E681, Products!A:A, Products!E:E)</f>
        <v>53</v>
      </c>
      <c r="N681" s="6">
        <f t="shared" si="42"/>
        <v>106</v>
      </c>
      <c r="O681" s="8">
        <f t="shared" si="43"/>
        <v>-45018</v>
      </c>
      <c r="Q681" s="8"/>
      <c r="R681" s="8"/>
    </row>
    <row r="682" spans="1:18">
      <c r="A682" s="4">
        <v>100294</v>
      </c>
      <c r="B682" s="1">
        <v>45378</v>
      </c>
      <c r="C682" s="1">
        <v>45299</v>
      </c>
      <c r="D682" t="s">
        <v>271</v>
      </c>
      <c r="E682" t="s">
        <v>21</v>
      </c>
      <c r="F682">
        <v>2</v>
      </c>
      <c r="G682">
        <v>1280</v>
      </c>
      <c r="H682">
        <v>0</v>
      </c>
      <c r="I682" t="s">
        <v>19</v>
      </c>
      <c r="J682" t="s">
        <v>26</v>
      </c>
      <c r="K682" s="6">
        <f t="shared" si="40"/>
        <v>2560</v>
      </c>
      <c r="L682" s="6">
        <f t="shared" si="41"/>
        <v>2560</v>
      </c>
      <c r="M682" s="6">
        <f>_xlfn.XLOOKUP(E682, Products!A:A, Products!E:E)</f>
        <v>279</v>
      </c>
      <c r="N682" s="6">
        <f t="shared" si="42"/>
        <v>558</v>
      </c>
      <c r="O682" s="8">
        <f t="shared" si="43"/>
        <v>2002</v>
      </c>
      <c r="Q682" s="8"/>
      <c r="R682" s="8"/>
    </row>
    <row r="683" spans="1:18">
      <c r="A683" s="4">
        <v>100117</v>
      </c>
      <c r="B683" s="1">
        <v>45375</v>
      </c>
      <c r="C683" s="1">
        <v>45301</v>
      </c>
      <c r="D683" t="s">
        <v>185</v>
      </c>
      <c r="E683" t="s">
        <v>55</v>
      </c>
      <c r="F683">
        <v>2</v>
      </c>
      <c r="G683">
        <v>1253</v>
      </c>
      <c r="H683">
        <v>5</v>
      </c>
      <c r="I683" t="s">
        <v>12</v>
      </c>
      <c r="J683" t="s">
        <v>26</v>
      </c>
      <c r="K683" s="6">
        <f t="shared" si="40"/>
        <v>2506</v>
      </c>
      <c r="L683" s="6">
        <f t="shared" si="41"/>
        <v>-10024</v>
      </c>
      <c r="M683" s="6">
        <f>_xlfn.XLOOKUP(E683, Products!A:A, Products!E:E)</f>
        <v>141</v>
      </c>
      <c r="N683" s="6">
        <f t="shared" si="42"/>
        <v>282</v>
      </c>
      <c r="O683" s="8">
        <f t="shared" si="43"/>
        <v>-10306</v>
      </c>
      <c r="Q683" s="8"/>
      <c r="R683" s="8"/>
    </row>
    <row r="684" spans="1:18">
      <c r="A684" s="4">
        <v>100055</v>
      </c>
      <c r="B684" s="1">
        <v>45375</v>
      </c>
      <c r="C684" s="1">
        <v>45298</v>
      </c>
      <c r="D684" t="s">
        <v>111</v>
      </c>
      <c r="E684" t="s">
        <v>112</v>
      </c>
      <c r="F684">
        <v>2</v>
      </c>
      <c r="G684">
        <v>1485</v>
      </c>
      <c r="H684">
        <v>10</v>
      </c>
      <c r="I684" t="s">
        <v>19</v>
      </c>
      <c r="J684" t="s">
        <v>22</v>
      </c>
      <c r="K684" s="6">
        <f t="shared" si="40"/>
        <v>2970</v>
      </c>
      <c r="L684" s="6">
        <f t="shared" si="41"/>
        <v>-26730</v>
      </c>
      <c r="M684" s="6">
        <f>_xlfn.XLOOKUP(E684, Products!A:A, Products!E:E)</f>
        <v>72</v>
      </c>
      <c r="N684" s="6">
        <f t="shared" si="42"/>
        <v>144</v>
      </c>
      <c r="O684" s="8">
        <f t="shared" si="43"/>
        <v>-26874</v>
      </c>
      <c r="Q684" s="8"/>
      <c r="R684" s="8"/>
    </row>
    <row r="685" spans="1:18">
      <c r="A685" s="4">
        <v>100862</v>
      </c>
      <c r="B685" s="1">
        <v>45374</v>
      </c>
      <c r="C685" s="1">
        <v>45294</v>
      </c>
      <c r="D685" t="s">
        <v>202</v>
      </c>
      <c r="E685" t="s">
        <v>145</v>
      </c>
      <c r="F685">
        <v>2</v>
      </c>
      <c r="G685">
        <v>1556</v>
      </c>
      <c r="H685">
        <v>10</v>
      </c>
      <c r="I685" t="s">
        <v>29</v>
      </c>
      <c r="J685" t="s">
        <v>16</v>
      </c>
      <c r="K685" s="6">
        <f t="shared" si="40"/>
        <v>3112</v>
      </c>
      <c r="L685" s="6">
        <f t="shared" si="41"/>
        <v>-28008</v>
      </c>
      <c r="M685" s="6">
        <f>_xlfn.XLOOKUP(E685, Products!A:A, Products!E:E)</f>
        <v>247</v>
      </c>
      <c r="N685" s="6">
        <f t="shared" si="42"/>
        <v>494</v>
      </c>
      <c r="O685" s="8">
        <f t="shared" si="43"/>
        <v>-28502</v>
      </c>
      <c r="Q685" s="8"/>
      <c r="R685" s="8"/>
    </row>
    <row r="686" spans="1:18">
      <c r="A686" s="4">
        <v>100376</v>
      </c>
      <c r="B686" s="1">
        <v>45373</v>
      </c>
      <c r="C686" s="1">
        <v>45300</v>
      </c>
      <c r="D686" t="s">
        <v>311</v>
      </c>
      <c r="E686" t="s">
        <v>91</v>
      </c>
      <c r="F686">
        <v>2</v>
      </c>
      <c r="G686">
        <v>708</v>
      </c>
      <c r="H686">
        <v>5</v>
      </c>
      <c r="I686" t="s">
        <v>29</v>
      </c>
      <c r="J686" t="s">
        <v>26</v>
      </c>
      <c r="K686" s="6">
        <f t="shared" si="40"/>
        <v>1416</v>
      </c>
      <c r="L686" s="6">
        <f t="shared" si="41"/>
        <v>-5664</v>
      </c>
      <c r="M686" s="6">
        <f>_xlfn.XLOOKUP(E686, Products!A:A, Products!E:E)</f>
        <v>243</v>
      </c>
      <c r="N686" s="6">
        <f t="shared" si="42"/>
        <v>486</v>
      </c>
      <c r="O686" s="8">
        <f t="shared" si="43"/>
        <v>-6150</v>
      </c>
      <c r="Q686" s="8"/>
      <c r="R686" s="8"/>
    </row>
    <row r="687" spans="1:18">
      <c r="A687" s="4">
        <v>100104</v>
      </c>
      <c r="B687" s="1">
        <v>45368</v>
      </c>
      <c r="C687" s="1">
        <v>45296</v>
      </c>
      <c r="D687" t="s">
        <v>171</v>
      </c>
      <c r="E687" t="s">
        <v>43</v>
      </c>
      <c r="F687">
        <v>2</v>
      </c>
      <c r="G687">
        <v>539</v>
      </c>
      <c r="H687">
        <v>5</v>
      </c>
      <c r="I687" t="s">
        <v>19</v>
      </c>
      <c r="J687" t="s">
        <v>22</v>
      </c>
      <c r="K687" s="6">
        <f t="shared" si="40"/>
        <v>1078</v>
      </c>
      <c r="L687" s="6">
        <f t="shared" si="41"/>
        <v>-4312</v>
      </c>
      <c r="M687" s="6">
        <f>_xlfn.XLOOKUP(E687, Products!A:A, Products!E:E)</f>
        <v>228</v>
      </c>
      <c r="N687" s="6">
        <f t="shared" si="42"/>
        <v>456</v>
      </c>
      <c r="O687" s="8">
        <f t="shared" si="43"/>
        <v>-4768</v>
      </c>
      <c r="Q687" s="8"/>
      <c r="R687" s="8"/>
    </row>
    <row r="688" spans="1:18">
      <c r="A688" s="4">
        <v>100789</v>
      </c>
      <c r="B688" s="1">
        <v>45368</v>
      </c>
      <c r="C688" s="1">
        <v>45296</v>
      </c>
      <c r="D688" t="s">
        <v>47</v>
      </c>
      <c r="E688" t="s">
        <v>63</v>
      </c>
      <c r="F688">
        <v>2</v>
      </c>
      <c r="G688">
        <v>1333</v>
      </c>
      <c r="H688">
        <v>10</v>
      </c>
      <c r="I688" t="s">
        <v>12</v>
      </c>
      <c r="J688" t="s">
        <v>16</v>
      </c>
      <c r="K688" s="6">
        <f t="shared" si="40"/>
        <v>2666</v>
      </c>
      <c r="L688" s="6">
        <f t="shared" si="41"/>
        <v>-23994</v>
      </c>
      <c r="M688" s="6">
        <f>_xlfn.XLOOKUP(E688, Products!A:A, Products!E:E)</f>
        <v>294</v>
      </c>
      <c r="N688" s="6">
        <f t="shared" si="42"/>
        <v>588</v>
      </c>
      <c r="O688" s="8">
        <f t="shared" si="43"/>
        <v>-24582</v>
      </c>
      <c r="Q688" s="8"/>
      <c r="R688" s="8"/>
    </row>
    <row r="689" spans="1:18">
      <c r="A689" s="4">
        <v>100026</v>
      </c>
      <c r="B689" s="1">
        <v>45368</v>
      </c>
      <c r="C689" s="1">
        <v>45297</v>
      </c>
      <c r="D689" t="s">
        <v>62</v>
      </c>
      <c r="E689" t="s">
        <v>63</v>
      </c>
      <c r="F689">
        <v>2</v>
      </c>
      <c r="G689">
        <v>1182</v>
      </c>
      <c r="H689">
        <v>15</v>
      </c>
      <c r="I689" t="s">
        <v>12</v>
      </c>
      <c r="J689" t="s">
        <v>26</v>
      </c>
      <c r="K689" s="6">
        <f t="shared" si="40"/>
        <v>2364</v>
      </c>
      <c r="L689" s="6">
        <f t="shared" si="41"/>
        <v>-33096</v>
      </c>
      <c r="M689" s="6">
        <f>_xlfn.XLOOKUP(E689, Products!A:A, Products!E:E)</f>
        <v>294</v>
      </c>
      <c r="N689" s="6">
        <f t="shared" si="42"/>
        <v>588</v>
      </c>
      <c r="O689" s="8">
        <f t="shared" si="43"/>
        <v>-33684</v>
      </c>
      <c r="Q689" s="8"/>
      <c r="R689" s="8"/>
    </row>
    <row r="690" spans="1:18">
      <c r="A690" s="4">
        <v>100879</v>
      </c>
      <c r="B690" s="1">
        <v>45368</v>
      </c>
      <c r="C690" s="1">
        <v>45302</v>
      </c>
      <c r="D690" t="s">
        <v>127</v>
      </c>
      <c r="E690" t="s">
        <v>152</v>
      </c>
      <c r="F690">
        <v>2</v>
      </c>
      <c r="G690">
        <v>1241</v>
      </c>
      <c r="H690">
        <v>0</v>
      </c>
      <c r="I690" t="s">
        <v>12</v>
      </c>
      <c r="J690" t="s">
        <v>13</v>
      </c>
      <c r="K690" s="6">
        <f t="shared" si="40"/>
        <v>2482</v>
      </c>
      <c r="L690" s="6">
        <f t="shared" si="41"/>
        <v>2482</v>
      </c>
      <c r="M690" s="6">
        <f>_xlfn.XLOOKUP(E690, Products!A:A, Products!E:E)</f>
        <v>272</v>
      </c>
      <c r="N690" s="6">
        <f t="shared" si="42"/>
        <v>544</v>
      </c>
      <c r="O690" s="8">
        <f t="shared" si="43"/>
        <v>1938</v>
      </c>
      <c r="Q690" s="8"/>
      <c r="R690" s="8"/>
    </row>
    <row r="691" spans="1:18">
      <c r="A691" s="4">
        <v>100765</v>
      </c>
      <c r="B691" s="1">
        <v>45367</v>
      </c>
      <c r="C691" s="1">
        <v>45300</v>
      </c>
      <c r="D691" t="s">
        <v>386</v>
      </c>
      <c r="E691" t="s">
        <v>334</v>
      </c>
      <c r="F691">
        <v>2</v>
      </c>
      <c r="G691">
        <v>1072</v>
      </c>
      <c r="H691">
        <v>10</v>
      </c>
      <c r="I691" t="s">
        <v>19</v>
      </c>
      <c r="J691" t="s">
        <v>16</v>
      </c>
      <c r="K691" s="6">
        <f t="shared" si="40"/>
        <v>2144</v>
      </c>
      <c r="L691" s="6">
        <f t="shared" si="41"/>
        <v>-19296</v>
      </c>
      <c r="M691" s="6">
        <f>_xlfn.XLOOKUP(E691, Products!A:A, Products!E:E)</f>
        <v>93</v>
      </c>
      <c r="N691" s="6">
        <f t="shared" si="42"/>
        <v>186</v>
      </c>
      <c r="O691" s="8">
        <f t="shared" si="43"/>
        <v>-19482</v>
      </c>
      <c r="Q691" s="8"/>
      <c r="R691" s="8"/>
    </row>
    <row r="692" spans="1:18">
      <c r="A692" s="4">
        <v>100509</v>
      </c>
      <c r="B692" s="1">
        <v>45365</v>
      </c>
      <c r="C692" s="1">
        <v>45295</v>
      </c>
      <c r="D692" t="s">
        <v>362</v>
      </c>
      <c r="E692" t="s">
        <v>57</v>
      </c>
      <c r="F692">
        <v>2</v>
      </c>
      <c r="G692">
        <v>688</v>
      </c>
      <c r="H692">
        <v>0</v>
      </c>
      <c r="I692" t="s">
        <v>29</v>
      </c>
      <c r="J692" t="s">
        <v>26</v>
      </c>
      <c r="K692" s="6">
        <f t="shared" si="40"/>
        <v>1376</v>
      </c>
      <c r="L692" s="6">
        <f t="shared" si="41"/>
        <v>1376</v>
      </c>
      <c r="M692" s="6">
        <f>_xlfn.XLOOKUP(E692, Products!A:A, Products!E:E)</f>
        <v>270</v>
      </c>
      <c r="N692" s="6">
        <f t="shared" si="42"/>
        <v>540</v>
      </c>
      <c r="O692" s="8">
        <f t="shared" si="43"/>
        <v>836</v>
      </c>
      <c r="Q692" s="8"/>
      <c r="R692" s="8"/>
    </row>
    <row r="693" spans="1:18">
      <c r="A693" s="4">
        <v>100662</v>
      </c>
      <c r="B693" s="1">
        <v>45364</v>
      </c>
      <c r="C693" s="1">
        <v>45302</v>
      </c>
      <c r="D693" t="s">
        <v>171</v>
      </c>
      <c r="E693" t="s">
        <v>204</v>
      </c>
      <c r="F693">
        <v>2</v>
      </c>
      <c r="G693">
        <v>403</v>
      </c>
      <c r="H693">
        <v>10</v>
      </c>
      <c r="I693" t="s">
        <v>29</v>
      </c>
      <c r="J693" t="s">
        <v>26</v>
      </c>
      <c r="K693" s="6">
        <f t="shared" si="40"/>
        <v>806</v>
      </c>
      <c r="L693" s="6">
        <f t="shared" si="41"/>
        <v>-7254</v>
      </c>
      <c r="M693" s="6">
        <f>_xlfn.XLOOKUP(E693, Products!A:A, Products!E:E)</f>
        <v>229</v>
      </c>
      <c r="N693" s="6">
        <f t="shared" si="42"/>
        <v>458</v>
      </c>
      <c r="O693" s="8">
        <f t="shared" si="43"/>
        <v>-7712</v>
      </c>
      <c r="Q693" s="8"/>
      <c r="R693" s="8"/>
    </row>
    <row r="694" spans="1:18">
      <c r="A694" s="4">
        <v>100996</v>
      </c>
      <c r="B694" s="1">
        <v>45360</v>
      </c>
      <c r="C694" s="1">
        <v>45294</v>
      </c>
      <c r="D694" t="s">
        <v>284</v>
      </c>
      <c r="E694" t="s">
        <v>164</v>
      </c>
      <c r="F694">
        <v>2</v>
      </c>
      <c r="G694">
        <v>905</v>
      </c>
      <c r="H694">
        <v>15</v>
      </c>
      <c r="I694" t="s">
        <v>19</v>
      </c>
      <c r="J694" t="s">
        <v>26</v>
      </c>
      <c r="K694" s="6">
        <f t="shared" si="40"/>
        <v>1810</v>
      </c>
      <c r="L694" s="6">
        <f t="shared" si="41"/>
        <v>-25340</v>
      </c>
      <c r="M694" s="6">
        <f>_xlfn.XLOOKUP(E694, Products!A:A, Products!E:E)</f>
        <v>156</v>
      </c>
      <c r="N694" s="6">
        <f t="shared" si="42"/>
        <v>312</v>
      </c>
      <c r="O694" s="8">
        <f t="shared" si="43"/>
        <v>-25652</v>
      </c>
      <c r="Q694" s="8"/>
      <c r="R694" s="8"/>
    </row>
    <row r="695" spans="1:18">
      <c r="A695" s="4">
        <v>100114</v>
      </c>
      <c r="B695" s="1">
        <v>45359</v>
      </c>
      <c r="C695" s="1">
        <v>45295</v>
      </c>
      <c r="D695" t="s">
        <v>182</v>
      </c>
      <c r="E695" t="s">
        <v>132</v>
      </c>
      <c r="F695">
        <v>2</v>
      </c>
      <c r="G695">
        <v>681</v>
      </c>
      <c r="H695">
        <v>10</v>
      </c>
      <c r="I695" t="s">
        <v>19</v>
      </c>
      <c r="J695" t="s">
        <v>22</v>
      </c>
      <c r="K695" s="6">
        <f t="shared" si="40"/>
        <v>1362</v>
      </c>
      <c r="L695" s="6">
        <f t="shared" si="41"/>
        <v>-12258</v>
      </c>
      <c r="M695" s="6">
        <f>_xlfn.XLOOKUP(E695, Products!A:A, Products!E:E)</f>
        <v>138</v>
      </c>
      <c r="N695" s="6">
        <f t="shared" si="42"/>
        <v>276</v>
      </c>
      <c r="O695" s="8">
        <f t="shared" si="43"/>
        <v>-12534</v>
      </c>
      <c r="Q695" s="8"/>
      <c r="R695" s="8"/>
    </row>
    <row r="696" spans="1:18">
      <c r="A696" s="4">
        <v>100459</v>
      </c>
      <c r="B696" s="1">
        <v>45359</v>
      </c>
      <c r="C696" s="1">
        <v>45298</v>
      </c>
      <c r="D696" t="s">
        <v>353</v>
      </c>
      <c r="E696" t="s">
        <v>50</v>
      </c>
      <c r="F696">
        <v>2</v>
      </c>
      <c r="G696">
        <v>1113</v>
      </c>
      <c r="H696">
        <v>5</v>
      </c>
      <c r="I696" t="s">
        <v>19</v>
      </c>
      <c r="J696" t="s">
        <v>16</v>
      </c>
      <c r="K696" s="6">
        <f t="shared" si="40"/>
        <v>2226</v>
      </c>
      <c r="L696" s="6">
        <f t="shared" si="41"/>
        <v>-8904</v>
      </c>
      <c r="M696" s="6">
        <f>_xlfn.XLOOKUP(E696, Products!A:A, Products!E:E)</f>
        <v>218</v>
      </c>
      <c r="N696" s="6">
        <f t="shared" si="42"/>
        <v>436</v>
      </c>
      <c r="O696" s="8">
        <f t="shared" si="43"/>
        <v>-9340</v>
      </c>
      <c r="Q696" s="8"/>
      <c r="R696" s="8"/>
    </row>
    <row r="697" spans="1:18">
      <c r="A697" s="4">
        <v>100087</v>
      </c>
      <c r="B697" s="1">
        <v>45358</v>
      </c>
      <c r="C697" s="1">
        <v>45295</v>
      </c>
      <c r="D697" t="s">
        <v>106</v>
      </c>
      <c r="E697" t="s">
        <v>83</v>
      </c>
      <c r="F697">
        <v>2</v>
      </c>
      <c r="G697">
        <v>1952</v>
      </c>
      <c r="H697">
        <v>10</v>
      </c>
      <c r="I697" t="s">
        <v>29</v>
      </c>
      <c r="J697" t="s">
        <v>22</v>
      </c>
      <c r="K697" s="6">
        <f t="shared" si="40"/>
        <v>3904</v>
      </c>
      <c r="L697" s="6">
        <f t="shared" si="41"/>
        <v>-35136</v>
      </c>
      <c r="M697" s="6">
        <f>_xlfn.XLOOKUP(E697, Products!A:A, Products!E:E)</f>
        <v>243</v>
      </c>
      <c r="N697" s="6">
        <f t="shared" si="42"/>
        <v>486</v>
      </c>
      <c r="O697" s="8">
        <f t="shared" si="43"/>
        <v>-35622</v>
      </c>
      <c r="Q697" s="8"/>
      <c r="R697" s="8"/>
    </row>
    <row r="698" spans="1:18">
      <c r="A698" s="4">
        <v>100771</v>
      </c>
      <c r="B698" s="1">
        <v>45357</v>
      </c>
      <c r="C698" s="1">
        <v>45301</v>
      </c>
      <c r="D698" t="s">
        <v>313</v>
      </c>
      <c r="E698" t="s">
        <v>145</v>
      </c>
      <c r="F698">
        <v>2</v>
      </c>
      <c r="G698">
        <v>841</v>
      </c>
      <c r="H698">
        <v>5</v>
      </c>
      <c r="I698" t="s">
        <v>19</v>
      </c>
      <c r="J698" t="s">
        <v>26</v>
      </c>
      <c r="K698" s="6">
        <f t="shared" si="40"/>
        <v>1682</v>
      </c>
      <c r="L698" s="6">
        <f t="shared" si="41"/>
        <v>-6728</v>
      </c>
      <c r="M698" s="6">
        <f>_xlfn.XLOOKUP(E698, Products!A:A, Products!E:E)</f>
        <v>247</v>
      </c>
      <c r="N698" s="6">
        <f t="shared" si="42"/>
        <v>494</v>
      </c>
      <c r="O698" s="8">
        <f t="shared" si="43"/>
        <v>-7222</v>
      </c>
      <c r="Q698" s="8"/>
      <c r="R698" s="8"/>
    </row>
    <row r="699" spans="1:18">
      <c r="A699" s="4">
        <v>100584</v>
      </c>
      <c r="B699" s="1">
        <v>45356</v>
      </c>
      <c r="C699" s="1">
        <v>45297</v>
      </c>
      <c r="D699" t="s">
        <v>240</v>
      </c>
      <c r="E699" t="s">
        <v>15</v>
      </c>
      <c r="F699">
        <v>2</v>
      </c>
      <c r="G699">
        <v>1619</v>
      </c>
      <c r="H699">
        <v>5</v>
      </c>
      <c r="I699" t="s">
        <v>29</v>
      </c>
      <c r="J699" t="s">
        <v>13</v>
      </c>
      <c r="K699" s="6">
        <f t="shared" si="40"/>
        <v>3238</v>
      </c>
      <c r="L699" s="6">
        <f t="shared" si="41"/>
        <v>-12952</v>
      </c>
      <c r="M699" s="6">
        <f>_xlfn.XLOOKUP(E699, Products!A:A, Products!E:E)</f>
        <v>242</v>
      </c>
      <c r="N699" s="6">
        <f t="shared" si="42"/>
        <v>484</v>
      </c>
      <c r="O699" s="8">
        <f t="shared" si="43"/>
        <v>-13436</v>
      </c>
      <c r="Q699" s="8"/>
      <c r="R699" s="8"/>
    </row>
    <row r="700" spans="1:18">
      <c r="A700" s="4">
        <v>100615</v>
      </c>
      <c r="B700" s="1">
        <v>45355</v>
      </c>
      <c r="C700" s="1">
        <v>45295</v>
      </c>
      <c r="D700" t="s">
        <v>375</v>
      </c>
      <c r="E700" t="s">
        <v>91</v>
      </c>
      <c r="F700">
        <v>2</v>
      </c>
      <c r="G700">
        <v>292</v>
      </c>
      <c r="H700">
        <v>15</v>
      </c>
      <c r="I700" t="s">
        <v>29</v>
      </c>
      <c r="J700" t="s">
        <v>13</v>
      </c>
      <c r="K700" s="6">
        <f t="shared" si="40"/>
        <v>584</v>
      </c>
      <c r="L700" s="6">
        <f t="shared" si="41"/>
        <v>-8176</v>
      </c>
      <c r="M700" s="6">
        <f>_xlfn.XLOOKUP(E700, Products!A:A, Products!E:E)</f>
        <v>243</v>
      </c>
      <c r="N700" s="6">
        <f t="shared" si="42"/>
        <v>486</v>
      </c>
      <c r="O700" s="8">
        <f t="shared" si="43"/>
        <v>-8662</v>
      </c>
      <c r="Q700" s="8"/>
      <c r="R700" s="8"/>
    </row>
    <row r="701" spans="1:18">
      <c r="A701" s="4">
        <v>100840</v>
      </c>
      <c r="B701" s="1">
        <v>45352</v>
      </c>
      <c r="C701" s="1">
        <v>45301</v>
      </c>
      <c r="D701" t="s">
        <v>246</v>
      </c>
      <c r="E701" t="s">
        <v>206</v>
      </c>
      <c r="F701">
        <v>2</v>
      </c>
      <c r="G701">
        <v>276</v>
      </c>
      <c r="H701">
        <v>15</v>
      </c>
      <c r="I701" t="s">
        <v>19</v>
      </c>
      <c r="J701" t="s">
        <v>26</v>
      </c>
      <c r="K701" s="6">
        <f t="shared" si="40"/>
        <v>552</v>
      </c>
      <c r="L701" s="6">
        <f t="shared" si="41"/>
        <v>-7728</v>
      </c>
      <c r="M701" s="6">
        <f>_xlfn.XLOOKUP(E701, Products!A:A, Products!E:E)</f>
        <v>50</v>
      </c>
      <c r="N701" s="6">
        <f t="shared" si="42"/>
        <v>100</v>
      </c>
      <c r="O701" s="8">
        <f t="shared" si="43"/>
        <v>-7828</v>
      </c>
      <c r="Q701" s="8"/>
      <c r="R701" s="8"/>
    </row>
    <row r="702" spans="1:18">
      <c r="A702" s="4">
        <v>100097</v>
      </c>
      <c r="B702" s="1">
        <v>45351</v>
      </c>
      <c r="C702" s="1">
        <v>45302</v>
      </c>
      <c r="D702" t="s">
        <v>162</v>
      </c>
      <c r="E702" t="s">
        <v>103</v>
      </c>
      <c r="F702">
        <v>2</v>
      </c>
      <c r="G702">
        <v>1378</v>
      </c>
      <c r="H702">
        <v>10</v>
      </c>
      <c r="I702" t="s">
        <v>12</v>
      </c>
      <c r="J702" t="s">
        <v>22</v>
      </c>
      <c r="K702" s="6">
        <f t="shared" si="40"/>
        <v>2756</v>
      </c>
      <c r="L702" s="6">
        <f t="shared" si="41"/>
        <v>-24804</v>
      </c>
      <c r="M702" s="6">
        <f>_xlfn.XLOOKUP(E702, Products!A:A, Products!E:E)</f>
        <v>185</v>
      </c>
      <c r="N702" s="6">
        <f t="shared" si="42"/>
        <v>370</v>
      </c>
      <c r="O702" s="8">
        <f t="shared" si="43"/>
        <v>-25174</v>
      </c>
      <c r="Q702" s="8"/>
      <c r="R702" s="8"/>
    </row>
    <row r="703" spans="1:18">
      <c r="A703" s="4">
        <v>100641</v>
      </c>
      <c r="B703" s="1">
        <v>45347</v>
      </c>
      <c r="C703" s="1">
        <v>45299</v>
      </c>
      <c r="D703" t="s">
        <v>319</v>
      </c>
      <c r="E703" t="s">
        <v>75</v>
      </c>
      <c r="F703">
        <v>2</v>
      </c>
      <c r="G703">
        <v>1910</v>
      </c>
      <c r="H703">
        <v>15</v>
      </c>
      <c r="I703" t="s">
        <v>32</v>
      </c>
      <c r="J703" t="s">
        <v>22</v>
      </c>
      <c r="K703" s="6">
        <f t="shared" si="40"/>
        <v>3820</v>
      </c>
      <c r="L703" s="6">
        <f t="shared" si="41"/>
        <v>-53480</v>
      </c>
      <c r="M703" s="6">
        <f>_xlfn.XLOOKUP(E703, Products!A:A, Products!E:E)</f>
        <v>70</v>
      </c>
      <c r="N703" s="6">
        <f t="shared" si="42"/>
        <v>140</v>
      </c>
      <c r="O703" s="8">
        <f t="shared" si="43"/>
        <v>-53620</v>
      </c>
      <c r="Q703" s="8"/>
      <c r="R703" s="8"/>
    </row>
    <row r="704" spans="1:18">
      <c r="A704" s="4">
        <v>100559</v>
      </c>
      <c r="B704" s="1">
        <v>45344</v>
      </c>
      <c r="C704" s="1">
        <v>45294</v>
      </c>
      <c r="D704" t="s">
        <v>100</v>
      </c>
      <c r="E704" t="s">
        <v>50</v>
      </c>
      <c r="F704">
        <v>2</v>
      </c>
      <c r="G704">
        <v>1210</v>
      </c>
      <c r="H704">
        <v>0</v>
      </c>
      <c r="I704" t="s">
        <v>32</v>
      </c>
      <c r="J704" t="s">
        <v>13</v>
      </c>
      <c r="K704" s="6">
        <f t="shared" si="40"/>
        <v>2420</v>
      </c>
      <c r="L704" s="6">
        <f t="shared" si="41"/>
        <v>2420</v>
      </c>
      <c r="M704" s="6">
        <f>_xlfn.XLOOKUP(E704, Products!A:A, Products!E:E)</f>
        <v>218</v>
      </c>
      <c r="N704" s="6">
        <f t="shared" si="42"/>
        <v>436</v>
      </c>
      <c r="O704" s="8">
        <f t="shared" si="43"/>
        <v>1984</v>
      </c>
      <c r="Q704" s="8"/>
      <c r="R704" s="8"/>
    </row>
    <row r="705" spans="1:18">
      <c r="A705" s="4">
        <v>100002</v>
      </c>
      <c r="B705" s="1">
        <v>45344</v>
      </c>
      <c r="C705" s="1">
        <v>45295</v>
      </c>
      <c r="D705" t="s">
        <v>17</v>
      </c>
      <c r="E705" t="s">
        <v>18</v>
      </c>
      <c r="F705">
        <v>2</v>
      </c>
      <c r="G705">
        <v>223</v>
      </c>
      <c r="H705">
        <v>5</v>
      </c>
      <c r="I705" t="s">
        <v>19</v>
      </c>
      <c r="J705" t="s">
        <v>13</v>
      </c>
      <c r="K705" s="6">
        <f t="shared" si="40"/>
        <v>446</v>
      </c>
      <c r="L705" s="6">
        <f t="shared" si="41"/>
        <v>-1784</v>
      </c>
      <c r="M705" s="6">
        <f>_xlfn.XLOOKUP(E705, Products!A:A, Products!E:E)</f>
        <v>222</v>
      </c>
      <c r="N705" s="6">
        <f t="shared" si="42"/>
        <v>444</v>
      </c>
      <c r="O705" s="8">
        <f t="shared" si="43"/>
        <v>-2228</v>
      </c>
      <c r="Q705" s="8"/>
      <c r="R705" s="8"/>
    </row>
    <row r="706" spans="1:18">
      <c r="A706" s="4">
        <v>100332</v>
      </c>
      <c r="B706" s="1">
        <v>45343</v>
      </c>
      <c r="C706" s="1">
        <v>45300</v>
      </c>
      <c r="D706" t="s">
        <v>311</v>
      </c>
      <c r="E706" t="s">
        <v>55</v>
      </c>
      <c r="F706">
        <v>2</v>
      </c>
      <c r="G706">
        <v>828</v>
      </c>
      <c r="H706">
        <v>0</v>
      </c>
      <c r="I706" t="s">
        <v>12</v>
      </c>
      <c r="J706" t="s">
        <v>26</v>
      </c>
      <c r="K706" s="6">
        <f t="shared" ref="K706:K769" si="44">F706*G706</f>
        <v>1656</v>
      </c>
      <c r="L706" s="6">
        <f t="shared" si="41"/>
        <v>1656</v>
      </c>
      <c r="M706" s="6">
        <f>_xlfn.XLOOKUP(E706, Products!A:A, Products!E:E)</f>
        <v>141</v>
      </c>
      <c r="N706" s="6">
        <f t="shared" si="42"/>
        <v>282</v>
      </c>
      <c r="O706" s="8">
        <f t="shared" si="43"/>
        <v>1374</v>
      </c>
      <c r="Q706" s="8"/>
      <c r="R706" s="8"/>
    </row>
    <row r="707" spans="1:18">
      <c r="A707" s="4">
        <v>100198</v>
      </c>
      <c r="B707" s="1">
        <v>45337</v>
      </c>
      <c r="C707" s="1">
        <v>45297</v>
      </c>
      <c r="D707" t="s">
        <v>192</v>
      </c>
      <c r="E707" t="s">
        <v>53</v>
      </c>
      <c r="F707">
        <v>2</v>
      </c>
      <c r="G707">
        <v>1995</v>
      </c>
      <c r="H707">
        <v>15</v>
      </c>
      <c r="I707" t="s">
        <v>19</v>
      </c>
      <c r="J707" t="s">
        <v>26</v>
      </c>
      <c r="K707" s="6">
        <f t="shared" si="44"/>
        <v>3990</v>
      </c>
      <c r="L707" s="6">
        <f t="shared" ref="L707:L770" si="45">F707*G707*(1-H707)</f>
        <v>-55860</v>
      </c>
      <c r="M707" s="6">
        <f>_xlfn.XLOOKUP(E707, Products!A:A, Products!E:E)</f>
        <v>140</v>
      </c>
      <c r="N707" s="6">
        <f t="shared" ref="N707:N770" si="46">F707*M707</f>
        <v>280</v>
      </c>
      <c r="O707" s="8">
        <f t="shared" ref="O707:O770" si="47">L707-N707</f>
        <v>-56140</v>
      </c>
      <c r="Q707" s="8"/>
      <c r="R707" s="8"/>
    </row>
    <row r="708" spans="1:18">
      <c r="A708" s="4">
        <v>100216</v>
      </c>
      <c r="B708" s="1">
        <v>45337</v>
      </c>
      <c r="C708" s="1">
        <v>45294</v>
      </c>
      <c r="D708" t="s">
        <v>98</v>
      </c>
      <c r="E708" t="s">
        <v>164</v>
      </c>
      <c r="F708">
        <v>2</v>
      </c>
      <c r="G708">
        <v>1492</v>
      </c>
      <c r="H708">
        <v>5</v>
      </c>
      <c r="I708" t="s">
        <v>29</v>
      </c>
      <c r="J708" t="s">
        <v>22</v>
      </c>
      <c r="K708" s="6">
        <f t="shared" si="44"/>
        <v>2984</v>
      </c>
      <c r="L708" s="6">
        <f t="shared" si="45"/>
        <v>-11936</v>
      </c>
      <c r="M708" s="6">
        <f>_xlfn.XLOOKUP(E708, Products!A:A, Products!E:E)</f>
        <v>156</v>
      </c>
      <c r="N708" s="6">
        <f t="shared" si="46"/>
        <v>312</v>
      </c>
      <c r="O708" s="8">
        <f t="shared" si="47"/>
        <v>-12248</v>
      </c>
      <c r="Q708" s="8"/>
      <c r="R708" s="8"/>
    </row>
    <row r="709" spans="1:18">
      <c r="A709" s="4">
        <v>100410</v>
      </c>
      <c r="B709" s="1">
        <v>45335</v>
      </c>
      <c r="C709" s="1">
        <v>45295</v>
      </c>
      <c r="D709" t="s">
        <v>266</v>
      </c>
      <c r="E709" t="s">
        <v>181</v>
      </c>
      <c r="F709">
        <v>2</v>
      </c>
      <c r="G709">
        <v>854</v>
      </c>
      <c r="H709">
        <v>10</v>
      </c>
      <c r="I709" t="s">
        <v>29</v>
      </c>
      <c r="J709" t="s">
        <v>16</v>
      </c>
      <c r="K709" s="6">
        <f t="shared" si="44"/>
        <v>1708</v>
      </c>
      <c r="L709" s="6">
        <f t="shared" si="45"/>
        <v>-15372</v>
      </c>
      <c r="M709" s="6">
        <f>_xlfn.XLOOKUP(E709, Products!A:A, Products!E:E)</f>
        <v>72</v>
      </c>
      <c r="N709" s="6">
        <f t="shared" si="46"/>
        <v>144</v>
      </c>
      <c r="O709" s="8">
        <f t="shared" si="47"/>
        <v>-15516</v>
      </c>
      <c r="Q709" s="8"/>
      <c r="R709" s="8"/>
    </row>
    <row r="710" spans="1:18">
      <c r="A710" s="4">
        <v>100260</v>
      </c>
      <c r="B710" s="1">
        <v>45334</v>
      </c>
      <c r="C710" s="1">
        <v>45296</v>
      </c>
      <c r="D710" t="s">
        <v>194</v>
      </c>
      <c r="E710" t="s">
        <v>204</v>
      </c>
      <c r="F710">
        <v>2</v>
      </c>
      <c r="G710">
        <v>1090</v>
      </c>
      <c r="H710">
        <v>10</v>
      </c>
      <c r="I710" t="s">
        <v>19</v>
      </c>
      <c r="J710" t="s">
        <v>13</v>
      </c>
      <c r="K710" s="6">
        <f t="shared" si="44"/>
        <v>2180</v>
      </c>
      <c r="L710" s="6">
        <f t="shared" si="45"/>
        <v>-19620</v>
      </c>
      <c r="M710" s="6">
        <f>_xlfn.XLOOKUP(E710, Products!A:A, Products!E:E)</f>
        <v>229</v>
      </c>
      <c r="N710" s="6">
        <f t="shared" si="46"/>
        <v>458</v>
      </c>
      <c r="O710" s="8">
        <f t="shared" si="47"/>
        <v>-20078</v>
      </c>
      <c r="Q710" s="8"/>
      <c r="R710" s="8"/>
    </row>
    <row r="711" spans="1:18">
      <c r="A711" s="4">
        <v>100256</v>
      </c>
      <c r="B711" s="1">
        <v>45330</v>
      </c>
      <c r="C711" s="1">
        <v>45300</v>
      </c>
      <c r="D711" t="s">
        <v>273</v>
      </c>
      <c r="E711" t="s">
        <v>18</v>
      </c>
      <c r="F711">
        <v>2</v>
      </c>
      <c r="G711">
        <v>766</v>
      </c>
      <c r="H711">
        <v>10</v>
      </c>
      <c r="I711" t="s">
        <v>19</v>
      </c>
      <c r="J711" t="s">
        <v>16</v>
      </c>
      <c r="K711" s="6">
        <f t="shared" si="44"/>
        <v>1532</v>
      </c>
      <c r="L711" s="6">
        <f t="shared" si="45"/>
        <v>-13788</v>
      </c>
      <c r="M711" s="6">
        <f>_xlfn.XLOOKUP(E711, Products!A:A, Products!E:E)</f>
        <v>222</v>
      </c>
      <c r="N711" s="6">
        <f t="shared" si="46"/>
        <v>444</v>
      </c>
      <c r="O711" s="8">
        <f t="shared" si="47"/>
        <v>-14232</v>
      </c>
      <c r="Q711" s="8"/>
      <c r="R711" s="8"/>
    </row>
    <row r="712" spans="1:18">
      <c r="A712" s="4">
        <v>100799</v>
      </c>
      <c r="B712" s="1">
        <v>45329</v>
      </c>
      <c r="C712" s="1">
        <v>45302</v>
      </c>
      <c r="D712" t="s">
        <v>361</v>
      </c>
      <c r="E712" t="s">
        <v>85</v>
      </c>
      <c r="F712">
        <v>2</v>
      </c>
      <c r="G712">
        <v>814</v>
      </c>
      <c r="H712">
        <v>15</v>
      </c>
      <c r="I712" t="s">
        <v>32</v>
      </c>
      <c r="J712" t="s">
        <v>13</v>
      </c>
      <c r="K712" s="6">
        <f t="shared" si="44"/>
        <v>1628</v>
      </c>
      <c r="L712" s="6">
        <f t="shared" si="45"/>
        <v>-22792</v>
      </c>
      <c r="M712" s="6">
        <f>_xlfn.XLOOKUP(E712, Products!A:A, Products!E:E)</f>
        <v>148</v>
      </c>
      <c r="N712" s="6">
        <f t="shared" si="46"/>
        <v>296</v>
      </c>
      <c r="O712" s="8">
        <f t="shared" si="47"/>
        <v>-23088</v>
      </c>
      <c r="Q712" s="8"/>
      <c r="R712" s="8"/>
    </row>
    <row r="713" spans="1:18">
      <c r="A713" s="4">
        <v>100572</v>
      </c>
      <c r="B713" s="1">
        <v>45328</v>
      </c>
      <c r="C713" s="1">
        <v>45301</v>
      </c>
      <c r="D713" t="s">
        <v>299</v>
      </c>
      <c r="E713" t="s">
        <v>325</v>
      </c>
      <c r="F713">
        <v>2</v>
      </c>
      <c r="G713">
        <v>1549</v>
      </c>
      <c r="H713">
        <v>10</v>
      </c>
      <c r="I713" t="s">
        <v>32</v>
      </c>
      <c r="J713" t="s">
        <v>16</v>
      </c>
      <c r="K713" s="6">
        <f t="shared" si="44"/>
        <v>3098</v>
      </c>
      <c r="L713" s="6">
        <f t="shared" si="45"/>
        <v>-27882</v>
      </c>
      <c r="M713" s="6">
        <f>_xlfn.XLOOKUP(E713, Products!A:A, Products!E:E)</f>
        <v>68</v>
      </c>
      <c r="N713" s="6">
        <f t="shared" si="46"/>
        <v>136</v>
      </c>
      <c r="O713" s="8">
        <f t="shared" si="47"/>
        <v>-28018</v>
      </c>
      <c r="Q713" s="8"/>
      <c r="R713" s="8"/>
    </row>
    <row r="714" spans="1:18">
      <c r="A714" s="4">
        <v>100511</v>
      </c>
      <c r="B714" s="1">
        <v>45326</v>
      </c>
      <c r="C714" s="1">
        <v>45299</v>
      </c>
      <c r="D714" t="s">
        <v>363</v>
      </c>
      <c r="E714" t="s">
        <v>221</v>
      </c>
      <c r="F714">
        <v>2</v>
      </c>
      <c r="G714">
        <v>1060</v>
      </c>
      <c r="H714">
        <v>5</v>
      </c>
      <c r="I714" t="s">
        <v>32</v>
      </c>
      <c r="J714" t="s">
        <v>22</v>
      </c>
      <c r="K714" s="6">
        <f t="shared" si="44"/>
        <v>2120</v>
      </c>
      <c r="L714" s="6">
        <f t="shared" si="45"/>
        <v>-8480</v>
      </c>
      <c r="M714" s="6">
        <f>_xlfn.XLOOKUP(E714, Products!A:A, Products!E:E)</f>
        <v>208</v>
      </c>
      <c r="N714" s="6">
        <f t="shared" si="46"/>
        <v>416</v>
      </c>
      <c r="O714" s="8">
        <f t="shared" si="47"/>
        <v>-8896</v>
      </c>
      <c r="Q714" s="8"/>
      <c r="R714" s="8"/>
    </row>
    <row r="715" spans="1:18">
      <c r="A715" s="4">
        <v>100385</v>
      </c>
      <c r="B715" s="1">
        <v>45326</v>
      </c>
      <c r="C715" s="1">
        <v>45302</v>
      </c>
      <c r="D715" t="s">
        <v>240</v>
      </c>
      <c r="E715" t="s">
        <v>97</v>
      </c>
      <c r="F715">
        <v>2</v>
      </c>
      <c r="G715">
        <v>1493</v>
      </c>
      <c r="H715">
        <v>5</v>
      </c>
      <c r="I715" t="s">
        <v>29</v>
      </c>
      <c r="J715" t="s">
        <v>22</v>
      </c>
      <c r="K715" s="6">
        <f t="shared" si="44"/>
        <v>2986</v>
      </c>
      <c r="L715" s="6">
        <f t="shared" si="45"/>
        <v>-11944</v>
      </c>
      <c r="M715" s="6">
        <f>_xlfn.XLOOKUP(E715, Products!A:A, Products!E:E)</f>
        <v>229</v>
      </c>
      <c r="N715" s="6">
        <f t="shared" si="46"/>
        <v>458</v>
      </c>
      <c r="O715" s="8">
        <f t="shared" si="47"/>
        <v>-12402</v>
      </c>
      <c r="Q715" s="8"/>
      <c r="R715" s="8"/>
    </row>
    <row r="716" spans="1:18">
      <c r="A716" s="4">
        <v>100204</v>
      </c>
      <c r="B716" s="1">
        <v>45325</v>
      </c>
      <c r="C716" s="1">
        <v>45294</v>
      </c>
      <c r="D716" t="s">
        <v>248</v>
      </c>
      <c r="E716" t="s">
        <v>95</v>
      </c>
      <c r="F716">
        <v>2</v>
      </c>
      <c r="G716">
        <v>357</v>
      </c>
      <c r="H716">
        <v>15</v>
      </c>
      <c r="I716" t="s">
        <v>32</v>
      </c>
      <c r="J716" t="s">
        <v>13</v>
      </c>
      <c r="K716" s="6">
        <f t="shared" si="44"/>
        <v>714</v>
      </c>
      <c r="L716" s="6">
        <f t="shared" si="45"/>
        <v>-9996</v>
      </c>
      <c r="M716" s="6">
        <f>_xlfn.XLOOKUP(E716, Products!A:A, Products!E:E)</f>
        <v>113</v>
      </c>
      <c r="N716" s="6">
        <f t="shared" si="46"/>
        <v>226</v>
      </c>
      <c r="O716" s="8">
        <f t="shared" si="47"/>
        <v>-10222</v>
      </c>
      <c r="Q716" s="8"/>
      <c r="R716" s="8"/>
    </row>
    <row r="717" spans="1:18">
      <c r="A717" s="4">
        <v>100863</v>
      </c>
      <c r="B717" s="1">
        <v>45323</v>
      </c>
      <c r="C717" s="1">
        <v>45299</v>
      </c>
      <c r="D717" t="s">
        <v>229</v>
      </c>
      <c r="E717" t="s">
        <v>93</v>
      </c>
      <c r="F717">
        <v>2</v>
      </c>
      <c r="G717">
        <v>425</v>
      </c>
      <c r="H717">
        <v>10</v>
      </c>
      <c r="I717" t="s">
        <v>32</v>
      </c>
      <c r="J717" t="s">
        <v>26</v>
      </c>
      <c r="K717" s="6">
        <f t="shared" si="44"/>
        <v>850</v>
      </c>
      <c r="L717" s="6">
        <f t="shared" si="45"/>
        <v>-7650</v>
      </c>
      <c r="M717" s="6">
        <f>_xlfn.XLOOKUP(E717, Products!A:A, Products!E:E)</f>
        <v>222</v>
      </c>
      <c r="N717" s="6">
        <f t="shared" si="46"/>
        <v>444</v>
      </c>
      <c r="O717" s="8">
        <f t="shared" si="47"/>
        <v>-8094</v>
      </c>
      <c r="Q717" s="8"/>
      <c r="R717" s="8"/>
    </row>
    <row r="718" spans="1:18">
      <c r="A718" s="4">
        <v>100792</v>
      </c>
      <c r="B718" s="1">
        <v>45322</v>
      </c>
      <c r="C718" s="1">
        <v>45295</v>
      </c>
      <c r="D718" t="s">
        <v>160</v>
      </c>
      <c r="E718" t="s">
        <v>180</v>
      </c>
      <c r="F718">
        <v>2</v>
      </c>
      <c r="G718">
        <v>1486</v>
      </c>
      <c r="H718">
        <v>5</v>
      </c>
      <c r="I718" t="s">
        <v>19</v>
      </c>
      <c r="J718" t="s">
        <v>26</v>
      </c>
      <c r="K718" s="6">
        <f t="shared" si="44"/>
        <v>2972</v>
      </c>
      <c r="L718" s="6">
        <f t="shared" si="45"/>
        <v>-11888</v>
      </c>
      <c r="M718" s="6">
        <f>_xlfn.XLOOKUP(E718, Products!A:A, Products!E:E)</f>
        <v>81</v>
      </c>
      <c r="N718" s="6">
        <f t="shared" si="46"/>
        <v>162</v>
      </c>
      <c r="O718" s="8">
        <f t="shared" si="47"/>
        <v>-12050</v>
      </c>
      <c r="Q718" s="8"/>
      <c r="R718" s="8"/>
    </row>
    <row r="719" spans="1:18">
      <c r="A719" s="4">
        <v>100427</v>
      </c>
      <c r="B719" s="1">
        <v>45321</v>
      </c>
      <c r="C719" s="1">
        <v>45298</v>
      </c>
      <c r="D719" t="s">
        <v>130</v>
      </c>
      <c r="E719" t="s">
        <v>209</v>
      </c>
      <c r="F719">
        <v>2</v>
      </c>
      <c r="G719">
        <v>425</v>
      </c>
      <c r="H719">
        <v>10</v>
      </c>
      <c r="I719" t="s">
        <v>29</v>
      </c>
      <c r="J719" t="s">
        <v>13</v>
      </c>
      <c r="K719" s="6">
        <f t="shared" si="44"/>
        <v>850</v>
      </c>
      <c r="L719" s="6">
        <f t="shared" si="45"/>
        <v>-7650</v>
      </c>
      <c r="M719" s="6">
        <f>_xlfn.XLOOKUP(E719, Products!A:A, Products!E:E)</f>
        <v>53</v>
      </c>
      <c r="N719" s="6">
        <f t="shared" si="46"/>
        <v>106</v>
      </c>
      <c r="O719" s="8">
        <f t="shared" si="47"/>
        <v>-7756</v>
      </c>
      <c r="Q719" s="8"/>
      <c r="R719" s="8"/>
    </row>
    <row r="720" spans="1:18">
      <c r="A720" s="4">
        <v>100355</v>
      </c>
      <c r="B720" s="1">
        <v>45321</v>
      </c>
      <c r="C720" s="1">
        <v>45295</v>
      </c>
      <c r="D720" t="s">
        <v>321</v>
      </c>
      <c r="E720" t="s">
        <v>167</v>
      </c>
      <c r="F720">
        <v>2</v>
      </c>
      <c r="G720">
        <v>354</v>
      </c>
      <c r="H720">
        <v>10</v>
      </c>
      <c r="I720" t="s">
        <v>32</v>
      </c>
      <c r="J720" t="s">
        <v>26</v>
      </c>
      <c r="K720" s="6">
        <f t="shared" si="44"/>
        <v>708</v>
      </c>
      <c r="L720" s="6">
        <f t="shared" si="45"/>
        <v>-6372</v>
      </c>
      <c r="M720" s="6">
        <f>_xlfn.XLOOKUP(E720, Products!A:A, Products!E:E)</f>
        <v>181</v>
      </c>
      <c r="N720" s="6">
        <f t="shared" si="46"/>
        <v>362</v>
      </c>
      <c r="O720" s="8">
        <f t="shared" si="47"/>
        <v>-6734</v>
      </c>
      <c r="Q720" s="8"/>
      <c r="R720" s="8"/>
    </row>
    <row r="721" spans="1:18">
      <c r="A721" s="4">
        <v>100203</v>
      </c>
      <c r="B721" s="1">
        <v>45319</v>
      </c>
      <c r="C721" s="1">
        <v>45295</v>
      </c>
      <c r="D721" t="s">
        <v>246</v>
      </c>
      <c r="E721" t="s">
        <v>247</v>
      </c>
      <c r="F721">
        <v>2</v>
      </c>
      <c r="G721">
        <v>1732</v>
      </c>
      <c r="H721">
        <v>15</v>
      </c>
      <c r="I721" t="s">
        <v>32</v>
      </c>
      <c r="J721" t="s">
        <v>26</v>
      </c>
      <c r="K721" s="6">
        <f t="shared" si="44"/>
        <v>3464</v>
      </c>
      <c r="L721" s="6">
        <f t="shared" si="45"/>
        <v>-48496</v>
      </c>
      <c r="M721" s="6">
        <f>_xlfn.XLOOKUP(E721, Products!A:A, Products!E:E)</f>
        <v>70</v>
      </c>
      <c r="N721" s="6">
        <f t="shared" si="46"/>
        <v>140</v>
      </c>
      <c r="O721" s="8">
        <f t="shared" si="47"/>
        <v>-48636</v>
      </c>
      <c r="Q721" s="8"/>
      <c r="R721" s="8"/>
    </row>
    <row r="722" spans="1:18">
      <c r="A722" s="4">
        <v>100963</v>
      </c>
      <c r="B722" s="1">
        <v>45314</v>
      </c>
      <c r="C722" s="1">
        <v>45294</v>
      </c>
      <c r="D722" t="s">
        <v>146</v>
      </c>
      <c r="E722" t="s">
        <v>31</v>
      </c>
      <c r="F722">
        <v>2</v>
      </c>
      <c r="G722">
        <v>413</v>
      </c>
      <c r="H722">
        <v>10</v>
      </c>
      <c r="I722" t="s">
        <v>19</v>
      </c>
      <c r="J722" t="s">
        <v>22</v>
      </c>
      <c r="K722" s="6">
        <f t="shared" si="44"/>
        <v>826</v>
      </c>
      <c r="L722" s="6">
        <f t="shared" si="45"/>
        <v>-7434</v>
      </c>
      <c r="M722" s="6">
        <f>_xlfn.XLOOKUP(E722, Products!A:A, Products!E:E)</f>
        <v>187</v>
      </c>
      <c r="N722" s="6">
        <f t="shared" si="46"/>
        <v>374</v>
      </c>
      <c r="O722" s="8">
        <f t="shared" si="47"/>
        <v>-7808</v>
      </c>
      <c r="Q722" s="8"/>
      <c r="R722" s="8"/>
    </row>
    <row r="723" spans="1:18">
      <c r="A723" s="4">
        <v>100010</v>
      </c>
      <c r="B723" s="1">
        <v>45313</v>
      </c>
      <c r="C723" s="1">
        <v>45294</v>
      </c>
      <c r="D723" t="s">
        <v>36</v>
      </c>
      <c r="E723" t="s">
        <v>37</v>
      </c>
      <c r="F723">
        <v>2</v>
      </c>
      <c r="G723">
        <v>1783</v>
      </c>
      <c r="H723">
        <v>5</v>
      </c>
      <c r="I723" t="s">
        <v>19</v>
      </c>
      <c r="J723" t="s">
        <v>16</v>
      </c>
      <c r="K723" s="6">
        <f t="shared" si="44"/>
        <v>3566</v>
      </c>
      <c r="L723" s="6">
        <f t="shared" si="45"/>
        <v>-14264</v>
      </c>
      <c r="M723" s="6">
        <f>_xlfn.XLOOKUP(E723, Products!A:A, Products!E:E)</f>
        <v>282</v>
      </c>
      <c r="N723" s="6">
        <f t="shared" si="46"/>
        <v>564</v>
      </c>
      <c r="O723" s="8">
        <f t="shared" si="47"/>
        <v>-14828</v>
      </c>
      <c r="Q723" s="8"/>
      <c r="R723" s="8"/>
    </row>
    <row r="724" spans="1:18">
      <c r="A724" s="4">
        <v>100638</v>
      </c>
      <c r="B724" s="1">
        <v>45310</v>
      </c>
      <c r="C724" s="1">
        <v>45300</v>
      </c>
      <c r="D724" t="s">
        <v>310</v>
      </c>
      <c r="E724" t="s">
        <v>83</v>
      </c>
      <c r="F724">
        <v>2</v>
      </c>
      <c r="G724">
        <v>397</v>
      </c>
      <c r="H724">
        <v>10</v>
      </c>
      <c r="I724" t="s">
        <v>12</v>
      </c>
      <c r="J724" t="s">
        <v>13</v>
      </c>
      <c r="K724" s="6">
        <f t="shared" si="44"/>
        <v>794</v>
      </c>
      <c r="L724" s="6">
        <f t="shared" si="45"/>
        <v>-7146</v>
      </c>
      <c r="M724" s="6">
        <f>_xlfn.XLOOKUP(E724, Products!A:A, Products!E:E)</f>
        <v>243</v>
      </c>
      <c r="N724" s="6">
        <f t="shared" si="46"/>
        <v>486</v>
      </c>
      <c r="O724" s="8">
        <f t="shared" si="47"/>
        <v>-7632</v>
      </c>
      <c r="Q724" s="8"/>
      <c r="R724" s="8"/>
    </row>
    <row r="725" spans="1:18">
      <c r="A725" s="4">
        <v>100865</v>
      </c>
      <c r="B725" s="1">
        <v>45310</v>
      </c>
      <c r="C725" s="1">
        <v>45298</v>
      </c>
      <c r="D725" t="s">
        <v>104</v>
      </c>
      <c r="E725" t="s">
        <v>34</v>
      </c>
      <c r="F725">
        <v>2</v>
      </c>
      <c r="G725">
        <v>330</v>
      </c>
      <c r="H725">
        <v>0</v>
      </c>
      <c r="I725" t="s">
        <v>19</v>
      </c>
      <c r="J725" t="s">
        <v>16</v>
      </c>
      <c r="K725" s="6">
        <f t="shared" si="44"/>
        <v>660</v>
      </c>
      <c r="L725" s="6">
        <f t="shared" si="45"/>
        <v>660</v>
      </c>
      <c r="M725" s="6">
        <f>_xlfn.XLOOKUP(E725, Products!A:A, Products!E:E)</f>
        <v>187</v>
      </c>
      <c r="N725" s="6">
        <f t="shared" si="46"/>
        <v>374</v>
      </c>
      <c r="O725" s="8">
        <f t="shared" si="47"/>
        <v>286</v>
      </c>
      <c r="Q725" s="8"/>
      <c r="R725" s="8"/>
    </row>
    <row r="726" spans="1:18">
      <c r="A726" s="4">
        <v>100227</v>
      </c>
      <c r="B726" s="1">
        <v>45309</v>
      </c>
      <c r="C726" s="1">
        <v>45301</v>
      </c>
      <c r="D726" t="s">
        <v>259</v>
      </c>
      <c r="E726" t="s">
        <v>158</v>
      </c>
      <c r="F726">
        <v>2</v>
      </c>
      <c r="G726">
        <v>1038</v>
      </c>
      <c r="H726">
        <v>10</v>
      </c>
      <c r="I726" t="s">
        <v>32</v>
      </c>
      <c r="J726" t="s">
        <v>26</v>
      </c>
      <c r="K726" s="6">
        <f t="shared" si="44"/>
        <v>2076</v>
      </c>
      <c r="L726" s="6">
        <f t="shared" si="45"/>
        <v>-18684</v>
      </c>
      <c r="M726" s="6">
        <f>_xlfn.XLOOKUP(E726, Products!A:A, Products!E:E)</f>
        <v>281</v>
      </c>
      <c r="N726" s="6">
        <f t="shared" si="46"/>
        <v>562</v>
      </c>
      <c r="O726" s="8">
        <f t="shared" si="47"/>
        <v>-19246</v>
      </c>
      <c r="Q726" s="8"/>
      <c r="R726" s="8"/>
    </row>
    <row r="727" spans="1:18">
      <c r="A727" s="4">
        <v>100217</v>
      </c>
      <c r="B727" s="1">
        <v>45307</v>
      </c>
      <c r="C727" s="1">
        <v>45297</v>
      </c>
      <c r="D727" t="s">
        <v>256</v>
      </c>
      <c r="E727" t="s">
        <v>41</v>
      </c>
      <c r="F727">
        <v>2</v>
      </c>
      <c r="G727">
        <v>1681</v>
      </c>
      <c r="H727">
        <v>0</v>
      </c>
      <c r="I727" t="s">
        <v>29</v>
      </c>
      <c r="J727" t="s">
        <v>22</v>
      </c>
      <c r="K727" s="6">
        <f t="shared" si="44"/>
        <v>3362</v>
      </c>
      <c r="L727" s="6">
        <f t="shared" si="45"/>
        <v>3362</v>
      </c>
      <c r="M727" s="6">
        <f>_xlfn.XLOOKUP(E727, Products!A:A, Products!E:E)</f>
        <v>125</v>
      </c>
      <c r="N727" s="6">
        <f t="shared" si="46"/>
        <v>250</v>
      </c>
      <c r="O727" s="8">
        <f t="shared" si="47"/>
        <v>3112</v>
      </c>
      <c r="Q727" s="8"/>
      <c r="R727" s="8"/>
    </row>
    <row r="728" spans="1:18">
      <c r="A728" s="4">
        <v>100368</v>
      </c>
      <c r="B728" s="1">
        <v>45306</v>
      </c>
      <c r="C728" s="1">
        <v>45297</v>
      </c>
      <c r="D728" t="s">
        <v>239</v>
      </c>
      <c r="E728" t="s">
        <v>144</v>
      </c>
      <c r="F728">
        <v>2</v>
      </c>
      <c r="G728">
        <v>304</v>
      </c>
      <c r="H728">
        <v>15</v>
      </c>
      <c r="I728" t="s">
        <v>32</v>
      </c>
      <c r="J728" t="s">
        <v>22</v>
      </c>
      <c r="K728" s="6">
        <f t="shared" si="44"/>
        <v>608</v>
      </c>
      <c r="L728" s="6">
        <f t="shared" si="45"/>
        <v>-8512</v>
      </c>
      <c r="M728" s="6">
        <f>_xlfn.XLOOKUP(E728, Products!A:A, Products!E:E)</f>
        <v>247</v>
      </c>
      <c r="N728" s="6">
        <f t="shared" si="46"/>
        <v>494</v>
      </c>
      <c r="O728" s="8">
        <f t="shared" si="47"/>
        <v>-9006</v>
      </c>
      <c r="Q728" s="8"/>
      <c r="R728" s="8"/>
    </row>
    <row r="729" spans="1:18">
      <c r="A729" s="4">
        <v>100076</v>
      </c>
      <c r="B729" s="1">
        <v>45304</v>
      </c>
      <c r="C729" s="1">
        <v>45300</v>
      </c>
      <c r="D729" t="s">
        <v>140</v>
      </c>
      <c r="E729" t="s">
        <v>56</v>
      </c>
      <c r="F729">
        <v>2</v>
      </c>
      <c r="G729">
        <v>262</v>
      </c>
      <c r="H729">
        <v>15</v>
      </c>
      <c r="I729" t="s">
        <v>29</v>
      </c>
      <c r="J729" t="s">
        <v>22</v>
      </c>
      <c r="K729" s="6">
        <f t="shared" si="44"/>
        <v>524</v>
      </c>
      <c r="L729" s="6">
        <f t="shared" si="45"/>
        <v>-7336</v>
      </c>
      <c r="M729" s="6">
        <f>_xlfn.XLOOKUP(E729, Products!A:A, Products!E:E)</f>
        <v>212</v>
      </c>
      <c r="N729" s="6">
        <f t="shared" si="46"/>
        <v>424</v>
      </c>
      <c r="O729" s="8">
        <f t="shared" si="47"/>
        <v>-7760</v>
      </c>
      <c r="Q729" s="8"/>
      <c r="R729" s="8"/>
    </row>
    <row r="730" spans="1:18">
      <c r="A730" s="4">
        <v>100218</v>
      </c>
      <c r="B730" s="1">
        <v>45302</v>
      </c>
      <c r="C730" s="1">
        <v>45302</v>
      </c>
      <c r="D730" t="s">
        <v>248</v>
      </c>
      <c r="E730" t="s">
        <v>210</v>
      </c>
      <c r="F730">
        <v>2</v>
      </c>
      <c r="G730">
        <v>1472</v>
      </c>
      <c r="H730">
        <v>5</v>
      </c>
      <c r="I730" t="s">
        <v>32</v>
      </c>
      <c r="J730" t="s">
        <v>13</v>
      </c>
      <c r="K730" s="6">
        <f t="shared" si="44"/>
        <v>2944</v>
      </c>
      <c r="L730" s="6">
        <f t="shared" si="45"/>
        <v>-11776</v>
      </c>
      <c r="M730" s="6">
        <f>_xlfn.XLOOKUP(E730, Products!A:A, Products!E:E)</f>
        <v>135</v>
      </c>
      <c r="N730" s="6">
        <f t="shared" si="46"/>
        <v>270</v>
      </c>
      <c r="O730" s="8">
        <f t="shared" si="47"/>
        <v>-12046</v>
      </c>
      <c r="Q730" s="8"/>
      <c r="R730" s="8"/>
    </row>
    <row r="731" spans="1:18">
      <c r="A731" s="4">
        <v>100924</v>
      </c>
      <c r="B731" s="1">
        <v>45302</v>
      </c>
      <c r="C731" s="1">
        <v>45298</v>
      </c>
      <c r="D731" t="s">
        <v>299</v>
      </c>
      <c r="E731" t="s">
        <v>183</v>
      </c>
      <c r="F731">
        <v>2</v>
      </c>
      <c r="G731">
        <v>675</v>
      </c>
      <c r="H731">
        <v>15</v>
      </c>
      <c r="I731" t="s">
        <v>19</v>
      </c>
      <c r="J731" t="s">
        <v>26</v>
      </c>
      <c r="K731" s="6">
        <f t="shared" si="44"/>
        <v>1350</v>
      </c>
      <c r="L731" s="6">
        <f t="shared" si="45"/>
        <v>-18900</v>
      </c>
      <c r="M731" s="6">
        <f>_xlfn.XLOOKUP(E731, Products!A:A, Products!E:E)</f>
        <v>55</v>
      </c>
      <c r="N731" s="6">
        <f t="shared" si="46"/>
        <v>110</v>
      </c>
      <c r="O731" s="8">
        <f t="shared" si="47"/>
        <v>-19010</v>
      </c>
      <c r="Q731" s="8"/>
      <c r="R731" s="8"/>
    </row>
    <row r="732" spans="1:18">
      <c r="A732" s="4">
        <v>100842</v>
      </c>
      <c r="B732" s="1">
        <v>45302</v>
      </c>
      <c r="C732" s="1">
        <v>45299</v>
      </c>
      <c r="D732" t="s">
        <v>309</v>
      </c>
      <c r="E732" t="s">
        <v>204</v>
      </c>
      <c r="F732">
        <v>2</v>
      </c>
      <c r="G732">
        <v>1284</v>
      </c>
      <c r="H732">
        <v>5</v>
      </c>
      <c r="I732" t="s">
        <v>19</v>
      </c>
      <c r="J732" t="s">
        <v>16</v>
      </c>
      <c r="K732" s="6">
        <f t="shared" si="44"/>
        <v>2568</v>
      </c>
      <c r="L732" s="6">
        <f t="shared" si="45"/>
        <v>-10272</v>
      </c>
      <c r="M732" s="6">
        <f>_xlfn.XLOOKUP(E732, Products!A:A, Products!E:E)</f>
        <v>229</v>
      </c>
      <c r="N732" s="6">
        <f t="shared" si="46"/>
        <v>458</v>
      </c>
      <c r="O732" s="8">
        <f t="shared" si="47"/>
        <v>-10730</v>
      </c>
      <c r="Q732" s="8"/>
      <c r="R732" s="8"/>
    </row>
    <row r="733" spans="1:18">
      <c r="A733" s="4">
        <v>100878</v>
      </c>
      <c r="B733" s="1">
        <v>45302</v>
      </c>
      <c r="C733" s="1">
        <v>45296</v>
      </c>
      <c r="D733" t="s">
        <v>320</v>
      </c>
      <c r="E733" t="s">
        <v>144</v>
      </c>
      <c r="F733">
        <v>2</v>
      </c>
      <c r="G733">
        <v>347</v>
      </c>
      <c r="H733">
        <v>0</v>
      </c>
      <c r="I733" t="s">
        <v>19</v>
      </c>
      <c r="J733" t="s">
        <v>22</v>
      </c>
      <c r="K733" s="6">
        <f t="shared" si="44"/>
        <v>694</v>
      </c>
      <c r="L733" s="6">
        <f t="shared" si="45"/>
        <v>694</v>
      </c>
      <c r="M733" s="6">
        <f>_xlfn.XLOOKUP(E733, Products!A:A, Products!E:E)</f>
        <v>247</v>
      </c>
      <c r="N733" s="6">
        <f t="shared" si="46"/>
        <v>494</v>
      </c>
      <c r="O733" s="8">
        <f t="shared" si="47"/>
        <v>200</v>
      </c>
      <c r="Q733" s="8"/>
      <c r="R733" s="8"/>
    </row>
    <row r="734" spans="1:18">
      <c r="A734" s="4">
        <v>100419</v>
      </c>
      <c r="B734" s="1">
        <v>45301</v>
      </c>
      <c r="C734" s="1">
        <v>45294</v>
      </c>
      <c r="D734" t="s">
        <v>305</v>
      </c>
      <c r="E734" t="s">
        <v>201</v>
      </c>
      <c r="F734">
        <v>2</v>
      </c>
      <c r="G734">
        <v>341</v>
      </c>
      <c r="H734">
        <v>5</v>
      </c>
      <c r="I734" t="s">
        <v>12</v>
      </c>
      <c r="J734" t="s">
        <v>13</v>
      </c>
      <c r="K734" s="6">
        <f t="shared" si="44"/>
        <v>682</v>
      </c>
      <c r="L734" s="6">
        <f t="shared" si="45"/>
        <v>-2728</v>
      </c>
      <c r="M734" s="6">
        <f>_xlfn.XLOOKUP(E734, Products!A:A, Products!E:E)</f>
        <v>123</v>
      </c>
      <c r="N734" s="6">
        <f t="shared" si="46"/>
        <v>246</v>
      </c>
      <c r="O734" s="8">
        <f t="shared" si="47"/>
        <v>-2974</v>
      </c>
      <c r="Q734" s="8"/>
      <c r="R734" s="8"/>
    </row>
    <row r="735" spans="1:18">
      <c r="A735" s="4">
        <v>100774</v>
      </c>
      <c r="B735" s="1">
        <v>45301</v>
      </c>
      <c r="C735" s="1">
        <v>45297</v>
      </c>
      <c r="D735" t="s">
        <v>278</v>
      </c>
      <c r="E735" t="s">
        <v>21</v>
      </c>
      <c r="F735">
        <v>2</v>
      </c>
      <c r="G735">
        <v>1925</v>
      </c>
      <c r="H735">
        <v>5</v>
      </c>
      <c r="I735" t="s">
        <v>12</v>
      </c>
      <c r="J735" t="s">
        <v>16</v>
      </c>
      <c r="K735" s="6">
        <f t="shared" si="44"/>
        <v>3850</v>
      </c>
      <c r="L735" s="6">
        <f t="shared" si="45"/>
        <v>-15400</v>
      </c>
      <c r="M735" s="6">
        <f>_xlfn.XLOOKUP(E735, Products!A:A, Products!E:E)</f>
        <v>279</v>
      </c>
      <c r="N735" s="6">
        <f t="shared" si="46"/>
        <v>558</v>
      </c>
      <c r="O735" s="8">
        <f t="shared" si="47"/>
        <v>-15958</v>
      </c>
      <c r="Q735" s="8"/>
      <c r="R735" s="8"/>
    </row>
    <row r="736" spans="1:18">
      <c r="A736" s="4">
        <v>100710</v>
      </c>
      <c r="B736" s="1">
        <v>45300</v>
      </c>
      <c r="C736" s="1">
        <v>45294</v>
      </c>
      <c r="D736" t="s">
        <v>393</v>
      </c>
      <c r="E736" t="s">
        <v>73</v>
      </c>
      <c r="F736">
        <v>2</v>
      </c>
      <c r="G736">
        <v>1866</v>
      </c>
      <c r="H736">
        <v>15</v>
      </c>
      <c r="I736" t="s">
        <v>32</v>
      </c>
      <c r="J736" t="s">
        <v>16</v>
      </c>
      <c r="K736" s="6">
        <f t="shared" si="44"/>
        <v>3732</v>
      </c>
      <c r="L736" s="6">
        <f t="shared" si="45"/>
        <v>-52248</v>
      </c>
      <c r="M736" s="6">
        <f>_xlfn.XLOOKUP(E736, Products!A:A, Products!E:E)</f>
        <v>243</v>
      </c>
      <c r="N736" s="6">
        <f t="shared" si="46"/>
        <v>486</v>
      </c>
      <c r="O736" s="8">
        <f t="shared" si="47"/>
        <v>-52734</v>
      </c>
      <c r="Q736" s="8"/>
      <c r="R736" s="8"/>
    </row>
    <row r="737" spans="1:18">
      <c r="A737" s="4">
        <v>100976</v>
      </c>
      <c r="B737" s="1">
        <v>45300</v>
      </c>
      <c r="C737" s="1">
        <v>45298</v>
      </c>
      <c r="D737" t="s">
        <v>396</v>
      </c>
      <c r="E737" t="s">
        <v>118</v>
      </c>
      <c r="F737">
        <v>2</v>
      </c>
      <c r="G737">
        <v>1140</v>
      </c>
      <c r="H737">
        <v>0</v>
      </c>
      <c r="I737" t="s">
        <v>29</v>
      </c>
      <c r="J737" t="s">
        <v>26</v>
      </c>
      <c r="K737" s="6">
        <f t="shared" si="44"/>
        <v>2280</v>
      </c>
      <c r="L737" s="6">
        <f t="shared" si="45"/>
        <v>2280</v>
      </c>
      <c r="M737" s="6">
        <f>_xlfn.XLOOKUP(E737, Products!A:A, Products!E:E)</f>
        <v>115</v>
      </c>
      <c r="N737" s="6">
        <f t="shared" si="46"/>
        <v>230</v>
      </c>
      <c r="O737" s="8">
        <f t="shared" si="47"/>
        <v>2050</v>
      </c>
      <c r="Q737" s="8"/>
      <c r="R737" s="8"/>
    </row>
    <row r="738" spans="1:18">
      <c r="A738" s="4">
        <v>100038</v>
      </c>
      <c r="B738" s="1">
        <v>45299</v>
      </c>
      <c r="C738" s="1">
        <v>45295</v>
      </c>
      <c r="D738" t="s">
        <v>82</v>
      </c>
      <c r="E738" t="s">
        <v>83</v>
      </c>
      <c r="F738">
        <v>2</v>
      </c>
      <c r="G738">
        <v>901</v>
      </c>
      <c r="H738">
        <v>5</v>
      </c>
      <c r="I738" t="s">
        <v>29</v>
      </c>
      <c r="J738" t="s">
        <v>16</v>
      </c>
      <c r="K738" s="6">
        <f t="shared" si="44"/>
        <v>1802</v>
      </c>
      <c r="L738" s="6">
        <f t="shared" si="45"/>
        <v>-7208</v>
      </c>
      <c r="M738" s="6">
        <f>_xlfn.XLOOKUP(E738, Products!A:A, Products!E:E)</f>
        <v>243</v>
      </c>
      <c r="N738" s="6">
        <f t="shared" si="46"/>
        <v>486</v>
      </c>
      <c r="O738" s="8">
        <f t="shared" si="47"/>
        <v>-7694</v>
      </c>
      <c r="Q738" s="8"/>
      <c r="R738" s="8"/>
    </row>
    <row r="739" spans="1:18">
      <c r="A739" s="4">
        <v>100508</v>
      </c>
      <c r="B739" s="1">
        <v>45297</v>
      </c>
      <c r="C739" s="1">
        <v>45296</v>
      </c>
      <c r="D739" t="s">
        <v>62</v>
      </c>
      <c r="E739" t="s">
        <v>260</v>
      </c>
      <c r="F739">
        <v>2</v>
      </c>
      <c r="G739">
        <v>1706</v>
      </c>
      <c r="H739">
        <v>5</v>
      </c>
      <c r="I739" t="s">
        <v>32</v>
      </c>
      <c r="J739" t="s">
        <v>16</v>
      </c>
      <c r="K739" s="6">
        <f t="shared" si="44"/>
        <v>3412</v>
      </c>
      <c r="L739" s="6">
        <f t="shared" si="45"/>
        <v>-13648</v>
      </c>
      <c r="M739" s="6">
        <f>_xlfn.XLOOKUP(E739, Products!A:A, Products!E:E)</f>
        <v>222</v>
      </c>
      <c r="N739" s="6">
        <f t="shared" si="46"/>
        <v>444</v>
      </c>
      <c r="O739" s="8">
        <f t="shared" si="47"/>
        <v>-14092</v>
      </c>
      <c r="Q739" s="8"/>
      <c r="R739" s="8"/>
    </row>
    <row r="740" spans="1:18">
      <c r="A740" s="4">
        <v>100912</v>
      </c>
      <c r="B740" s="1">
        <v>45293</v>
      </c>
      <c r="C740" s="1">
        <v>45294</v>
      </c>
      <c r="D740" t="s">
        <v>36</v>
      </c>
      <c r="E740" t="s">
        <v>31</v>
      </c>
      <c r="F740">
        <v>2</v>
      </c>
      <c r="G740">
        <v>1296</v>
      </c>
      <c r="H740">
        <v>15</v>
      </c>
      <c r="I740" t="s">
        <v>12</v>
      </c>
      <c r="J740" t="s">
        <v>16</v>
      </c>
      <c r="K740" s="6">
        <f t="shared" si="44"/>
        <v>2592</v>
      </c>
      <c r="L740" s="6">
        <f t="shared" si="45"/>
        <v>-36288</v>
      </c>
      <c r="M740" s="6">
        <f>_xlfn.XLOOKUP(E740, Products!A:A, Products!E:E)</f>
        <v>187</v>
      </c>
      <c r="N740" s="6">
        <f t="shared" si="46"/>
        <v>374</v>
      </c>
      <c r="O740" s="8">
        <f t="shared" si="47"/>
        <v>-36662</v>
      </c>
      <c r="Q740" s="8"/>
      <c r="R740" s="8"/>
    </row>
    <row r="741" spans="1:18">
      <c r="A741" s="4">
        <v>100985</v>
      </c>
      <c r="B741" s="1">
        <v>45656</v>
      </c>
      <c r="C741" s="1">
        <v>45300</v>
      </c>
      <c r="D741" t="s">
        <v>231</v>
      </c>
      <c r="E741" t="s">
        <v>145</v>
      </c>
      <c r="F741">
        <v>1</v>
      </c>
      <c r="G741">
        <v>457</v>
      </c>
      <c r="H741">
        <v>15</v>
      </c>
      <c r="I741" t="s">
        <v>19</v>
      </c>
      <c r="J741" t="s">
        <v>13</v>
      </c>
      <c r="K741" s="6">
        <f t="shared" si="44"/>
        <v>457</v>
      </c>
      <c r="L741" s="6">
        <f t="shared" si="45"/>
        <v>-6398</v>
      </c>
      <c r="M741" s="6">
        <f>_xlfn.XLOOKUP(E741, Products!A:A, Products!E:E)</f>
        <v>247</v>
      </c>
      <c r="N741" s="6">
        <f t="shared" si="46"/>
        <v>247</v>
      </c>
      <c r="O741" s="8">
        <f t="shared" si="47"/>
        <v>-6645</v>
      </c>
      <c r="Q741" s="8"/>
      <c r="R741" s="8"/>
    </row>
    <row r="742" spans="1:18">
      <c r="A742" s="4">
        <v>100278</v>
      </c>
      <c r="B742" s="1">
        <v>45656</v>
      </c>
      <c r="C742" s="1">
        <v>45297</v>
      </c>
      <c r="D742" t="s">
        <v>288</v>
      </c>
      <c r="E742" t="s">
        <v>170</v>
      </c>
      <c r="F742">
        <v>1</v>
      </c>
      <c r="G742">
        <v>1043</v>
      </c>
      <c r="H742">
        <v>5</v>
      </c>
      <c r="I742" t="s">
        <v>19</v>
      </c>
      <c r="J742" t="s">
        <v>13</v>
      </c>
      <c r="K742" s="6">
        <f t="shared" si="44"/>
        <v>1043</v>
      </c>
      <c r="L742" s="6">
        <f t="shared" si="45"/>
        <v>-4172</v>
      </c>
      <c r="M742" s="6">
        <f>_xlfn.XLOOKUP(E742, Products!A:A, Products!E:E)</f>
        <v>264</v>
      </c>
      <c r="N742" s="6">
        <f t="shared" si="46"/>
        <v>264</v>
      </c>
      <c r="O742" s="8">
        <f t="shared" si="47"/>
        <v>-4436</v>
      </c>
      <c r="Q742" s="8"/>
      <c r="R742" s="8"/>
    </row>
    <row r="743" spans="1:18">
      <c r="A743" s="4">
        <v>100161</v>
      </c>
      <c r="B743" s="1">
        <v>45655</v>
      </c>
      <c r="C743" s="1">
        <v>45295</v>
      </c>
      <c r="D743" t="s">
        <v>220</v>
      </c>
      <c r="E743" t="s">
        <v>37</v>
      </c>
      <c r="F743">
        <v>1</v>
      </c>
      <c r="G743">
        <v>221</v>
      </c>
      <c r="H743">
        <v>15</v>
      </c>
      <c r="I743" t="s">
        <v>29</v>
      </c>
      <c r="J743" t="s">
        <v>26</v>
      </c>
      <c r="K743" s="6">
        <f t="shared" si="44"/>
        <v>221</v>
      </c>
      <c r="L743" s="6">
        <f t="shared" si="45"/>
        <v>-3094</v>
      </c>
      <c r="M743" s="6">
        <f>_xlfn.XLOOKUP(E743, Products!A:A, Products!E:E)</f>
        <v>282</v>
      </c>
      <c r="N743" s="6">
        <f t="shared" si="46"/>
        <v>282</v>
      </c>
      <c r="O743" s="8">
        <f t="shared" si="47"/>
        <v>-3376</v>
      </c>
      <c r="Q743" s="8"/>
      <c r="R743" s="8"/>
    </row>
    <row r="744" spans="1:18">
      <c r="A744" s="4">
        <v>100556</v>
      </c>
      <c r="B744" s="1">
        <v>45654</v>
      </c>
      <c r="C744" s="1">
        <v>45297</v>
      </c>
      <c r="D744" t="s">
        <v>369</v>
      </c>
      <c r="E744" t="s">
        <v>181</v>
      </c>
      <c r="F744">
        <v>1</v>
      </c>
      <c r="G744">
        <v>496</v>
      </c>
      <c r="H744">
        <v>10</v>
      </c>
      <c r="I744" t="s">
        <v>29</v>
      </c>
      <c r="J744" t="s">
        <v>22</v>
      </c>
      <c r="K744" s="6">
        <f t="shared" si="44"/>
        <v>496</v>
      </c>
      <c r="L744" s="6">
        <f t="shared" si="45"/>
        <v>-4464</v>
      </c>
      <c r="M744" s="6">
        <f>_xlfn.XLOOKUP(E744, Products!A:A, Products!E:E)</f>
        <v>72</v>
      </c>
      <c r="N744" s="6">
        <f t="shared" si="46"/>
        <v>72</v>
      </c>
      <c r="O744" s="8">
        <f t="shared" si="47"/>
        <v>-4536</v>
      </c>
      <c r="Q744" s="8"/>
      <c r="R744" s="8"/>
    </row>
    <row r="745" spans="1:18">
      <c r="A745" s="4">
        <v>100558</v>
      </c>
      <c r="B745" s="1">
        <v>45652</v>
      </c>
      <c r="C745" s="1">
        <v>45294</v>
      </c>
      <c r="D745" t="s">
        <v>370</v>
      </c>
      <c r="E745" t="s">
        <v>302</v>
      </c>
      <c r="F745">
        <v>1</v>
      </c>
      <c r="G745">
        <v>1155</v>
      </c>
      <c r="H745">
        <v>5</v>
      </c>
      <c r="I745" t="s">
        <v>12</v>
      </c>
      <c r="J745" t="s">
        <v>13</v>
      </c>
      <c r="K745" s="6">
        <f t="shared" si="44"/>
        <v>1155</v>
      </c>
      <c r="L745" s="6">
        <f t="shared" si="45"/>
        <v>-4620</v>
      </c>
      <c r="M745" s="6">
        <f>_xlfn.XLOOKUP(E745, Products!A:A, Products!E:E)</f>
        <v>175</v>
      </c>
      <c r="N745" s="6">
        <f t="shared" si="46"/>
        <v>175</v>
      </c>
      <c r="O745" s="8">
        <f t="shared" si="47"/>
        <v>-4795</v>
      </c>
      <c r="Q745" s="8"/>
      <c r="R745" s="8"/>
    </row>
    <row r="746" spans="1:18">
      <c r="A746" s="4">
        <v>100105</v>
      </c>
      <c r="B746" s="1">
        <v>45651</v>
      </c>
      <c r="C746" s="1">
        <v>45299</v>
      </c>
      <c r="D746" t="s">
        <v>172</v>
      </c>
      <c r="E746" t="s">
        <v>75</v>
      </c>
      <c r="F746">
        <v>1</v>
      </c>
      <c r="G746">
        <v>631</v>
      </c>
      <c r="H746">
        <v>0</v>
      </c>
      <c r="I746" t="s">
        <v>29</v>
      </c>
      <c r="J746" t="s">
        <v>22</v>
      </c>
      <c r="K746" s="6">
        <f t="shared" si="44"/>
        <v>631</v>
      </c>
      <c r="L746" s="6">
        <f t="shared" si="45"/>
        <v>631</v>
      </c>
      <c r="M746" s="6">
        <f>_xlfn.XLOOKUP(E746, Products!A:A, Products!E:E)</f>
        <v>70</v>
      </c>
      <c r="N746" s="6">
        <f t="shared" si="46"/>
        <v>70</v>
      </c>
      <c r="O746" s="8">
        <f t="shared" si="47"/>
        <v>561</v>
      </c>
      <c r="Q746" s="8"/>
      <c r="R746" s="8"/>
    </row>
    <row r="747" spans="1:18">
      <c r="A747" s="4">
        <v>100066</v>
      </c>
      <c r="B747" s="1">
        <v>45651</v>
      </c>
      <c r="C747" s="1">
        <v>45302</v>
      </c>
      <c r="D747" t="s">
        <v>125</v>
      </c>
      <c r="E747" t="s">
        <v>126</v>
      </c>
      <c r="F747">
        <v>1</v>
      </c>
      <c r="G747">
        <v>318</v>
      </c>
      <c r="H747">
        <v>0</v>
      </c>
      <c r="I747" t="s">
        <v>19</v>
      </c>
      <c r="J747" t="s">
        <v>22</v>
      </c>
      <c r="K747" s="6">
        <f t="shared" si="44"/>
        <v>318</v>
      </c>
      <c r="L747" s="6">
        <f t="shared" si="45"/>
        <v>318</v>
      </c>
      <c r="M747" s="6">
        <f>_xlfn.XLOOKUP(E747, Products!A:A, Products!E:E)</f>
        <v>177</v>
      </c>
      <c r="N747" s="6">
        <f t="shared" si="46"/>
        <v>177</v>
      </c>
      <c r="O747" s="8">
        <f t="shared" si="47"/>
        <v>141</v>
      </c>
      <c r="Q747" s="8"/>
      <c r="R747" s="8"/>
    </row>
    <row r="748" spans="1:18">
      <c r="A748" s="4">
        <v>100404</v>
      </c>
      <c r="B748" s="1">
        <v>45651</v>
      </c>
      <c r="C748" s="1">
        <v>45302</v>
      </c>
      <c r="D748" t="s">
        <v>228</v>
      </c>
      <c r="E748" t="s">
        <v>80</v>
      </c>
      <c r="F748">
        <v>1</v>
      </c>
      <c r="G748">
        <v>1471</v>
      </c>
      <c r="H748">
        <v>10</v>
      </c>
      <c r="I748" t="s">
        <v>29</v>
      </c>
      <c r="J748" t="s">
        <v>22</v>
      </c>
      <c r="K748" s="6">
        <f t="shared" si="44"/>
        <v>1471</v>
      </c>
      <c r="L748" s="6">
        <f t="shared" si="45"/>
        <v>-13239</v>
      </c>
      <c r="M748" s="6">
        <f>_xlfn.XLOOKUP(E748, Products!A:A, Products!E:E)</f>
        <v>71</v>
      </c>
      <c r="N748" s="6">
        <f t="shared" si="46"/>
        <v>71</v>
      </c>
      <c r="O748" s="8">
        <f t="shared" si="47"/>
        <v>-13310</v>
      </c>
      <c r="Q748" s="8"/>
      <c r="R748" s="8"/>
    </row>
    <row r="749" spans="1:18">
      <c r="A749" s="4">
        <v>100988</v>
      </c>
      <c r="B749" s="1">
        <v>45650</v>
      </c>
      <c r="C749" s="1">
        <v>45301</v>
      </c>
      <c r="D749" t="s">
        <v>364</v>
      </c>
      <c r="E749" t="s">
        <v>195</v>
      </c>
      <c r="F749">
        <v>1</v>
      </c>
      <c r="G749">
        <v>305</v>
      </c>
      <c r="H749">
        <v>10</v>
      </c>
      <c r="I749" t="s">
        <v>32</v>
      </c>
      <c r="J749" t="s">
        <v>26</v>
      </c>
      <c r="K749" s="6">
        <f t="shared" si="44"/>
        <v>305</v>
      </c>
      <c r="L749" s="6">
        <f t="shared" si="45"/>
        <v>-2745</v>
      </c>
      <c r="M749" s="6">
        <f>_xlfn.XLOOKUP(E749, Products!A:A, Products!E:E)</f>
        <v>261</v>
      </c>
      <c r="N749" s="6">
        <f t="shared" si="46"/>
        <v>261</v>
      </c>
      <c r="O749" s="8">
        <f t="shared" si="47"/>
        <v>-3006</v>
      </c>
      <c r="Q749" s="8"/>
      <c r="R749" s="8"/>
    </row>
    <row r="750" spans="1:18">
      <c r="A750" s="4">
        <v>100050</v>
      </c>
      <c r="B750" s="1">
        <v>45648</v>
      </c>
      <c r="C750" s="1">
        <v>45300</v>
      </c>
      <c r="D750" t="s">
        <v>67</v>
      </c>
      <c r="E750" t="s">
        <v>46</v>
      </c>
      <c r="F750">
        <v>1</v>
      </c>
      <c r="G750">
        <v>1366</v>
      </c>
      <c r="H750">
        <v>5</v>
      </c>
      <c r="I750" t="s">
        <v>32</v>
      </c>
      <c r="J750" t="s">
        <v>22</v>
      </c>
      <c r="K750" s="6">
        <f t="shared" si="44"/>
        <v>1366</v>
      </c>
      <c r="L750" s="6">
        <f t="shared" si="45"/>
        <v>-5464</v>
      </c>
      <c r="M750" s="6">
        <f>_xlfn.XLOOKUP(E750, Products!A:A, Products!E:E)</f>
        <v>191</v>
      </c>
      <c r="N750" s="6">
        <f t="shared" si="46"/>
        <v>191</v>
      </c>
      <c r="O750" s="8">
        <f t="shared" si="47"/>
        <v>-5655</v>
      </c>
      <c r="Q750" s="8"/>
      <c r="R750" s="8"/>
    </row>
    <row r="751" spans="1:18">
      <c r="A751" s="4">
        <v>100193</v>
      </c>
      <c r="B751" s="1">
        <v>45646</v>
      </c>
      <c r="C751" s="1">
        <v>45298</v>
      </c>
      <c r="D751" t="s">
        <v>49</v>
      </c>
      <c r="E751" t="s">
        <v>137</v>
      </c>
      <c r="F751">
        <v>1</v>
      </c>
      <c r="G751">
        <v>687</v>
      </c>
      <c r="H751">
        <v>0</v>
      </c>
      <c r="I751" t="s">
        <v>32</v>
      </c>
      <c r="J751" t="s">
        <v>16</v>
      </c>
      <c r="K751" s="6">
        <f t="shared" si="44"/>
        <v>687</v>
      </c>
      <c r="L751" s="6">
        <f t="shared" si="45"/>
        <v>687</v>
      </c>
      <c r="M751" s="6">
        <f>_xlfn.XLOOKUP(E751, Products!A:A, Products!E:E)</f>
        <v>239</v>
      </c>
      <c r="N751" s="6">
        <f t="shared" si="46"/>
        <v>239</v>
      </c>
      <c r="O751" s="8">
        <f t="shared" si="47"/>
        <v>448</v>
      </c>
      <c r="Q751" s="8"/>
      <c r="R751" s="8"/>
    </row>
    <row r="752" spans="1:18">
      <c r="A752" s="4">
        <v>100764</v>
      </c>
      <c r="B752" s="1">
        <v>45646</v>
      </c>
      <c r="C752" s="1">
        <v>45295</v>
      </c>
      <c r="D752" t="s">
        <v>388</v>
      </c>
      <c r="E752" t="s">
        <v>207</v>
      </c>
      <c r="F752">
        <v>1</v>
      </c>
      <c r="G752">
        <v>1399</v>
      </c>
      <c r="H752">
        <v>15</v>
      </c>
      <c r="I752" t="s">
        <v>19</v>
      </c>
      <c r="J752" t="s">
        <v>22</v>
      </c>
      <c r="K752" s="6">
        <f t="shared" si="44"/>
        <v>1399</v>
      </c>
      <c r="L752" s="6">
        <f t="shared" si="45"/>
        <v>-19586</v>
      </c>
      <c r="M752" s="6">
        <f>_xlfn.XLOOKUP(E752, Products!A:A, Products!E:E)</f>
        <v>147</v>
      </c>
      <c r="N752" s="6">
        <f t="shared" si="46"/>
        <v>147</v>
      </c>
      <c r="O752" s="8">
        <f t="shared" si="47"/>
        <v>-19733</v>
      </c>
      <c r="Q752" s="8"/>
      <c r="R752" s="8"/>
    </row>
    <row r="753" spans="1:18">
      <c r="A753" s="4">
        <v>100065</v>
      </c>
      <c r="B753" s="1">
        <v>45645</v>
      </c>
      <c r="C753" s="1">
        <v>45294</v>
      </c>
      <c r="D753" t="s">
        <v>124</v>
      </c>
      <c r="E753" t="s">
        <v>87</v>
      </c>
      <c r="F753">
        <v>1</v>
      </c>
      <c r="G753">
        <v>521</v>
      </c>
      <c r="H753">
        <v>5</v>
      </c>
      <c r="I753" t="s">
        <v>29</v>
      </c>
      <c r="J753" t="s">
        <v>13</v>
      </c>
      <c r="K753" s="6">
        <f t="shared" si="44"/>
        <v>521</v>
      </c>
      <c r="L753" s="6">
        <f t="shared" si="45"/>
        <v>-2084</v>
      </c>
      <c r="M753" s="6">
        <f>_xlfn.XLOOKUP(E753, Products!A:A, Products!E:E)</f>
        <v>269</v>
      </c>
      <c r="N753" s="6">
        <f t="shared" si="46"/>
        <v>269</v>
      </c>
      <c r="O753" s="8">
        <f t="shared" si="47"/>
        <v>-2353</v>
      </c>
      <c r="Q753" s="8"/>
      <c r="R753" s="8"/>
    </row>
    <row r="754" spans="1:18">
      <c r="A754" s="4">
        <v>100073</v>
      </c>
      <c r="B754" s="1">
        <v>45644</v>
      </c>
      <c r="C754" s="1">
        <v>45300</v>
      </c>
      <c r="D754" t="s">
        <v>136</v>
      </c>
      <c r="E754" t="s">
        <v>137</v>
      </c>
      <c r="F754">
        <v>1</v>
      </c>
      <c r="G754">
        <v>1322</v>
      </c>
      <c r="H754">
        <v>15</v>
      </c>
      <c r="I754" t="s">
        <v>19</v>
      </c>
      <c r="J754" t="s">
        <v>26</v>
      </c>
      <c r="K754" s="6">
        <f t="shared" si="44"/>
        <v>1322</v>
      </c>
      <c r="L754" s="6">
        <f t="shared" si="45"/>
        <v>-18508</v>
      </c>
      <c r="M754" s="6">
        <f>_xlfn.XLOOKUP(E754, Products!A:A, Products!E:E)</f>
        <v>239</v>
      </c>
      <c r="N754" s="6">
        <f t="shared" si="46"/>
        <v>239</v>
      </c>
      <c r="O754" s="8">
        <f t="shared" si="47"/>
        <v>-18747</v>
      </c>
      <c r="Q754" s="8"/>
      <c r="R754" s="8"/>
    </row>
    <row r="755" spans="1:18">
      <c r="A755" s="4">
        <v>100850</v>
      </c>
      <c r="B755" s="1">
        <v>45643</v>
      </c>
      <c r="C755" s="1">
        <v>45297</v>
      </c>
      <c r="D755" t="s">
        <v>141</v>
      </c>
      <c r="E755" t="s">
        <v>207</v>
      </c>
      <c r="F755">
        <v>1</v>
      </c>
      <c r="G755">
        <v>616</v>
      </c>
      <c r="H755">
        <v>0</v>
      </c>
      <c r="I755" t="s">
        <v>19</v>
      </c>
      <c r="J755" t="s">
        <v>26</v>
      </c>
      <c r="K755" s="6">
        <f t="shared" si="44"/>
        <v>616</v>
      </c>
      <c r="L755" s="6">
        <f t="shared" si="45"/>
        <v>616</v>
      </c>
      <c r="M755" s="6">
        <f>_xlfn.XLOOKUP(E755, Products!A:A, Products!E:E)</f>
        <v>147</v>
      </c>
      <c r="N755" s="6">
        <f t="shared" si="46"/>
        <v>147</v>
      </c>
      <c r="O755" s="8">
        <f t="shared" si="47"/>
        <v>469</v>
      </c>
      <c r="Q755" s="8"/>
      <c r="R755" s="8"/>
    </row>
    <row r="756" spans="1:18">
      <c r="A756" s="4">
        <v>100166</v>
      </c>
      <c r="B756" s="1">
        <v>45640</v>
      </c>
      <c r="C756" s="1">
        <v>45294</v>
      </c>
      <c r="D756" t="s">
        <v>135</v>
      </c>
      <c r="E756" t="s">
        <v>137</v>
      </c>
      <c r="F756">
        <v>1</v>
      </c>
      <c r="G756">
        <v>1602</v>
      </c>
      <c r="H756">
        <v>0</v>
      </c>
      <c r="I756" t="s">
        <v>29</v>
      </c>
      <c r="J756" t="s">
        <v>22</v>
      </c>
      <c r="K756" s="6">
        <f t="shared" si="44"/>
        <v>1602</v>
      </c>
      <c r="L756" s="6">
        <f t="shared" si="45"/>
        <v>1602</v>
      </c>
      <c r="M756" s="6">
        <f>_xlfn.XLOOKUP(E756, Products!A:A, Products!E:E)</f>
        <v>239</v>
      </c>
      <c r="N756" s="6">
        <f t="shared" si="46"/>
        <v>239</v>
      </c>
      <c r="O756" s="8">
        <f t="shared" si="47"/>
        <v>1363</v>
      </c>
      <c r="Q756" s="8"/>
      <c r="R756" s="8"/>
    </row>
    <row r="757" spans="1:18">
      <c r="A757" s="4">
        <v>100836</v>
      </c>
      <c r="B757" s="1">
        <v>45639</v>
      </c>
      <c r="C757" s="1">
        <v>45299</v>
      </c>
      <c r="D757" t="s">
        <v>295</v>
      </c>
      <c r="E757" t="s">
        <v>164</v>
      </c>
      <c r="F757">
        <v>1</v>
      </c>
      <c r="G757">
        <v>1196</v>
      </c>
      <c r="H757">
        <v>0</v>
      </c>
      <c r="I757" t="s">
        <v>19</v>
      </c>
      <c r="J757" t="s">
        <v>16</v>
      </c>
      <c r="K757" s="6">
        <f t="shared" si="44"/>
        <v>1196</v>
      </c>
      <c r="L757" s="6">
        <f t="shared" si="45"/>
        <v>1196</v>
      </c>
      <c r="M757" s="6">
        <f>_xlfn.XLOOKUP(E757, Products!A:A, Products!E:E)</f>
        <v>156</v>
      </c>
      <c r="N757" s="6">
        <f t="shared" si="46"/>
        <v>156</v>
      </c>
      <c r="O757" s="8">
        <f t="shared" si="47"/>
        <v>1040</v>
      </c>
      <c r="Q757" s="8"/>
      <c r="R757" s="8"/>
    </row>
    <row r="758" spans="1:18">
      <c r="A758" s="4">
        <v>100279</v>
      </c>
      <c r="B758" s="1">
        <v>45639</v>
      </c>
      <c r="C758" s="1">
        <v>45300</v>
      </c>
      <c r="D758" t="s">
        <v>289</v>
      </c>
      <c r="E758" t="s">
        <v>167</v>
      </c>
      <c r="F758">
        <v>1</v>
      </c>
      <c r="G758">
        <v>1745</v>
      </c>
      <c r="H758">
        <v>15</v>
      </c>
      <c r="I758" t="s">
        <v>29</v>
      </c>
      <c r="J758" t="s">
        <v>26</v>
      </c>
      <c r="K758" s="6">
        <f t="shared" si="44"/>
        <v>1745</v>
      </c>
      <c r="L758" s="6">
        <f t="shared" si="45"/>
        <v>-24430</v>
      </c>
      <c r="M758" s="6">
        <f>_xlfn.XLOOKUP(E758, Products!A:A, Products!E:E)</f>
        <v>181</v>
      </c>
      <c r="N758" s="6">
        <f t="shared" si="46"/>
        <v>181</v>
      </c>
      <c r="O758" s="8">
        <f t="shared" si="47"/>
        <v>-24611</v>
      </c>
      <c r="Q758" s="8"/>
      <c r="R758" s="8"/>
    </row>
    <row r="759" spans="1:18">
      <c r="A759" s="4">
        <v>100285</v>
      </c>
      <c r="B759" s="1">
        <v>45635</v>
      </c>
      <c r="C759" s="1">
        <v>45297</v>
      </c>
      <c r="D759" t="s">
        <v>233</v>
      </c>
      <c r="E759" t="s">
        <v>224</v>
      </c>
      <c r="F759">
        <v>1</v>
      </c>
      <c r="G759">
        <v>742</v>
      </c>
      <c r="H759">
        <v>0</v>
      </c>
      <c r="I759" t="s">
        <v>32</v>
      </c>
      <c r="J759" t="s">
        <v>13</v>
      </c>
      <c r="K759" s="6">
        <f t="shared" si="44"/>
        <v>742</v>
      </c>
      <c r="L759" s="6">
        <f t="shared" si="45"/>
        <v>742</v>
      </c>
      <c r="M759" s="6">
        <f>_xlfn.XLOOKUP(E759, Products!A:A, Products!E:E)</f>
        <v>118</v>
      </c>
      <c r="N759" s="6">
        <f t="shared" si="46"/>
        <v>118</v>
      </c>
      <c r="O759" s="8">
        <f t="shared" si="47"/>
        <v>624</v>
      </c>
      <c r="Q759" s="8"/>
      <c r="R759" s="8"/>
    </row>
    <row r="760" spans="1:18">
      <c r="A760" s="4">
        <v>100490</v>
      </c>
      <c r="B760" s="1">
        <v>45635</v>
      </c>
      <c r="C760" s="1">
        <v>45294</v>
      </c>
      <c r="D760" t="s">
        <v>47</v>
      </c>
      <c r="E760" t="s">
        <v>80</v>
      </c>
      <c r="F760">
        <v>1</v>
      </c>
      <c r="G760">
        <v>525</v>
      </c>
      <c r="H760">
        <v>5</v>
      </c>
      <c r="I760" t="s">
        <v>29</v>
      </c>
      <c r="J760" t="s">
        <v>13</v>
      </c>
      <c r="K760" s="6">
        <f t="shared" si="44"/>
        <v>525</v>
      </c>
      <c r="L760" s="6">
        <f t="shared" si="45"/>
        <v>-2100</v>
      </c>
      <c r="M760" s="6">
        <f>_xlfn.XLOOKUP(E760, Products!A:A, Products!E:E)</f>
        <v>71</v>
      </c>
      <c r="N760" s="6">
        <f t="shared" si="46"/>
        <v>71</v>
      </c>
      <c r="O760" s="8">
        <f t="shared" si="47"/>
        <v>-2171</v>
      </c>
      <c r="Q760" s="8"/>
      <c r="R760" s="8"/>
    </row>
    <row r="761" spans="1:18">
      <c r="A761" s="4">
        <v>100811</v>
      </c>
      <c r="B761" s="1">
        <v>45634</v>
      </c>
      <c r="C761" s="1">
        <v>45298</v>
      </c>
      <c r="D761" t="s">
        <v>401</v>
      </c>
      <c r="E761" t="s">
        <v>80</v>
      </c>
      <c r="F761">
        <v>1</v>
      </c>
      <c r="G761">
        <v>1035</v>
      </c>
      <c r="H761">
        <v>15</v>
      </c>
      <c r="I761" t="s">
        <v>19</v>
      </c>
      <c r="J761" t="s">
        <v>22</v>
      </c>
      <c r="K761" s="6">
        <f t="shared" si="44"/>
        <v>1035</v>
      </c>
      <c r="L761" s="6">
        <f t="shared" si="45"/>
        <v>-14490</v>
      </c>
      <c r="M761" s="6">
        <f>_xlfn.XLOOKUP(E761, Products!A:A, Products!E:E)</f>
        <v>71</v>
      </c>
      <c r="N761" s="6">
        <f t="shared" si="46"/>
        <v>71</v>
      </c>
      <c r="O761" s="8">
        <f t="shared" si="47"/>
        <v>-14561</v>
      </c>
      <c r="Q761" s="8"/>
      <c r="R761" s="8"/>
    </row>
    <row r="762" spans="1:18">
      <c r="A762" s="4">
        <v>100565</v>
      </c>
      <c r="B762" s="1">
        <v>45633</v>
      </c>
      <c r="C762" s="1">
        <v>45300</v>
      </c>
      <c r="D762" t="s">
        <v>74</v>
      </c>
      <c r="E762" t="s">
        <v>238</v>
      </c>
      <c r="F762">
        <v>1</v>
      </c>
      <c r="G762">
        <v>1058</v>
      </c>
      <c r="H762">
        <v>5</v>
      </c>
      <c r="I762" t="s">
        <v>29</v>
      </c>
      <c r="J762" t="s">
        <v>13</v>
      </c>
      <c r="K762" s="6">
        <f t="shared" si="44"/>
        <v>1058</v>
      </c>
      <c r="L762" s="6">
        <f t="shared" si="45"/>
        <v>-4232</v>
      </c>
      <c r="M762" s="6">
        <f>_xlfn.XLOOKUP(E762, Products!A:A, Products!E:E)</f>
        <v>265</v>
      </c>
      <c r="N762" s="6">
        <f t="shared" si="46"/>
        <v>265</v>
      </c>
      <c r="O762" s="8">
        <f t="shared" si="47"/>
        <v>-4497</v>
      </c>
      <c r="Q762" s="8"/>
      <c r="R762" s="8"/>
    </row>
    <row r="763" spans="1:18">
      <c r="A763" s="4">
        <v>100380</v>
      </c>
      <c r="B763" s="1">
        <v>45631</v>
      </c>
      <c r="C763" s="1">
        <v>45297</v>
      </c>
      <c r="D763" t="s">
        <v>329</v>
      </c>
      <c r="E763" t="s">
        <v>118</v>
      </c>
      <c r="F763">
        <v>1</v>
      </c>
      <c r="G763">
        <v>1723</v>
      </c>
      <c r="H763">
        <v>0</v>
      </c>
      <c r="I763" t="s">
        <v>29</v>
      </c>
      <c r="J763" t="s">
        <v>13</v>
      </c>
      <c r="K763" s="6">
        <f t="shared" si="44"/>
        <v>1723</v>
      </c>
      <c r="L763" s="6">
        <f t="shared" si="45"/>
        <v>1723</v>
      </c>
      <c r="M763" s="6">
        <f>_xlfn.XLOOKUP(E763, Products!A:A, Products!E:E)</f>
        <v>115</v>
      </c>
      <c r="N763" s="6">
        <f t="shared" si="46"/>
        <v>115</v>
      </c>
      <c r="O763" s="8">
        <f t="shared" si="47"/>
        <v>1608</v>
      </c>
      <c r="Q763" s="8"/>
      <c r="R763" s="8"/>
    </row>
    <row r="764" spans="1:18">
      <c r="A764" s="4">
        <v>100987</v>
      </c>
      <c r="B764" s="1">
        <v>45627</v>
      </c>
      <c r="C764" s="1">
        <v>45294</v>
      </c>
      <c r="D764" t="s">
        <v>225</v>
      </c>
      <c r="E764" t="s">
        <v>217</v>
      </c>
      <c r="F764">
        <v>1</v>
      </c>
      <c r="G764">
        <v>1981</v>
      </c>
      <c r="H764">
        <v>0</v>
      </c>
      <c r="I764" t="s">
        <v>29</v>
      </c>
      <c r="J764" t="s">
        <v>13</v>
      </c>
      <c r="K764" s="6">
        <f t="shared" si="44"/>
        <v>1981</v>
      </c>
      <c r="L764" s="6">
        <f t="shared" si="45"/>
        <v>1981</v>
      </c>
      <c r="M764" s="6">
        <f>_xlfn.XLOOKUP(E764, Products!A:A, Products!E:E)</f>
        <v>223</v>
      </c>
      <c r="N764" s="6">
        <f t="shared" si="46"/>
        <v>223</v>
      </c>
      <c r="O764" s="8">
        <f t="shared" si="47"/>
        <v>1758</v>
      </c>
      <c r="Q764" s="8"/>
      <c r="R764" s="8"/>
    </row>
    <row r="765" spans="1:18">
      <c r="A765" s="4">
        <v>100222</v>
      </c>
      <c r="B765" s="1">
        <v>45624</v>
      </c>
      <c r="C765" s="1">
        <v>45301</v>
      </c>
      <c r="D765" t="s">
        <v>257</v>
      </c>
      <c r="E765" t="s">
        <v>129</v>
      </c>
      <c r="F765">
        <v>1</v>
      </c>
      <c r="G765">
        <v>512</v>
      </c>
      <c r="H765">
        <v>5</v>
      </c>
      <c r="I765" t="s">
        <v>32</v>
      </c>
      <c r="J765" t="s">
        <v>16</v>
      </c>
      <c r="K765" s="6">
        <f t="shared" si="44"/>
        <v>512</v>
      </c>
      <c r="L765" s="6">
        <f t="shared" si="45"/>
        <v>-2048</v>
      </c>
      <c r="M765" s="6">
        <f>_xlfn.XLOOKUP(E765, Products!A:A, Products!E:E)</f>
        <v>171</v>
      </c>
      <c r="N765" s="6">
        <f t="shared" si="46"/>
        <v>171</v>
      </c>
      <c r="O765" s="8">
        <f t="shared" si="47"/>
        <v>-2219</v>
      </c>
      <c r="Q765" s="8"/>
      <c r="R765" s="8"/>
    </row>
    <row r="766" spans="1:18">
      <c r="A766" s="4">
        <v>100890</v>
      </c>
      <c r="B766" s="1">
        <v>45622</v>
      </c>
      <c r="C766" s="1">
        <v>45302</v>
      </c>
      <c r="D766" t="s">
        <v>400</v>
      </c>
      <c r="E766" t="s">
        <v>68</v>
      </c>
      <c r="F766">
        <v>1</v>
      </c>
      <c r="G766">
        <v>386</v>
      </c>
      <c r="H766">
        <v>10</v>
      </c>
      <c r="I766" t="s">
        <v>12</v>
      </c>
      <c r="J766" t="s">
        <v>16</v>
      </c>
      <c r="K766" s="6">
        <f t="shared" si="44"/>
        <v>386</v>
      </c>
      <c r="L766" s="6">
        <f t="shared" si="45"/>
        <v>-3474</v>
      </c>
      <c r="M766" s="6">
        <f>_xlfn.XLOOKUP(E766, Products!A:A, Products!E:E)</f>
        <v>295</v>
      </c>
      <c r="N766" s="6">
        <f t="shared" si="46"/>
        <v>295</v>
      </c>
      <c r="O766" s="8">
        <f t="shared" si="47"/>
        <v>-3769</v>
      </c>
      <c r="Q766" s="8"/>
      <c r="R766" s="8"/>
    </row>
    <row r="767" spans="1:18">
      <c r="A767" s="4">
        <v>100971</v>
      </c>
      <c r="B767" s="1">
        <v>45621</v>
      </c>
      <c r="C767" s="1">
        <v>45298</v>
      </c>
      <c r="D767" t="s">
        <v>70</v>
      </c>
      <c r="E767" t="s">
        <v>236</v>
      </c>
      <c r="F767">
        <v>1</v>
      </c>
      <c r="G767">
        <v>643</v>
      </c>
      <c r="H767">
        <v>0</v>
      </c>
      <c r="I767" t="s">
        <v>29</v>
      </c>
      <c r="J767" t="s">
        <v>22</v>
      </c>
      <c r="K767" s="6">
        <f t="shared" si="44"/>
        <v>643</v>
      </c>
      <c r="L767" s="6">
        <f t="shared" si="45"/>
        <v>643</v>
      </c>
      <c r="M767" s="6">
        <f>_xlfn.XLOOKUP(E767, Products!A:A, Products!E:E)</f>
        <v>120</v>
      </c>
      <c r="N767" s="6">
        <f t="shared" si="46"/>
        <v>120</v>
      </c>
      <c r="O767" s="8">
        <f t="shared" si="47"/>
        <v>523</v>
      </c>
      <c r="Q767" s="8"/>
      <c r="R767" s="8"/>
    </row>
    <row r="768" spans="1:18">
      <c r="A768" s="4">
        <v>100913</v>
      </c>
      <c r="B768" s="1">
        <v>45620</v>
      </c>
      <c r="C768" s="1">
        <v>45294</v>
      </c>
      <c r="D768" t="s">
        <v>359</v>
      </c>
      <c r="E768" t="s">
        <v>59</v>
      </c>
      <c r="F768">
        <v>1</v>
      </c>
      <c r="G768">
        <v>1506</v>
      </c>
      <c r="H768">
        <v>15</v>
      </c>
      <c r="I768" t="s">
        <v>29</v>
      </c>
      <c r="J768" t="s">
        <v>13</v>
      </c>
      <c r="K768" s="6">
        <f t="shared" si="44"/>
        <v>1506</v>
      </c>
      <c r="L768" s="6">
        <f t="shared" si="45"/>
        <v>-21084</v>
      </c>
      <c r="M768" s="6">
        <f>_xlfn.XLOOKUP(E768, Products!A:A, Products!E:E)</f>
        <v>116</v>
      </c>
      <c r="N768" s="6">
        <f t="shared" si="46"/>
        <v>116</v>
      </c>
      <c r="O768" s="8">
        <f t="shared" si="47"/>
        <v>-21200</v>
      </c>
      <c r="Q768" s="8"/>
      <c r="R768" s="8"/>
    </row>
    <row r="769" spans="1:18">
      <c r="A769" s="4">
        <v>100269</v>
      </c>
      <c r="B769" s="1">
        <v>45615</v>
      </c>
      <c r="C769" s="1">
        <v>45301</v>
      </c>
      <c r="D769" t="s">
        <v>283</v>
      </c>
      <c r="E769" t="s">
        <v>118</v>
      </c>
      <c r="F769">
        <v>1</v>
      </c>
      <c r="G769">
        <v>228</v>
      </c>
      <c r="H769">
        <v>0</v>
      </c>
      <c r="I769" t="s">
        <v>29</v>
      </c>
      <c r="J769" t="s">
        <v>22</v>
      </c>
      <c r="K769" s="6">
        <f t="shared" si="44"/>
        <v>228</v>
      </c>
      <c r="L769" s="6">
        <f t="shared" si="45"/>
        <v>228</v>
      </c>
      <c r="M769" s="6">
        <f>_xlfn.XLOOKUP(E769, Products!A:A, Products!E:E)</f>
        <v>115</v>
      </c>
      <c r="N769" s="6">
        <f t="shared" si="46"/>
        <v>115</v>
      </c>
      <c r="O769" s="8">
        <f t="shared" si="47"/>
        <v>113</v>
      </c>
      <c r="Q769" s="8"/>
      <c r="R769" s="8"/>
    </row>
    <row r="770" spans="1:18">
      <c r="A770" s="4">
        <v>100570</v>
      </c>
      <c r="B770" s="1">
        <v>45613</v>
      </c>
      <c r="C770" s="1">
        <v>45299</v>
      </c>
      <c r="D770" t="s">
        <v>337</v>
      </c>
      <c r="E770" t="s">
        <v>83</v>
      </c>
      <c r="F770">
        <v>1</v>
      </c>
      <c r="G770">
        <v>347</v>
      </c>
      <c r="H770">
        <v>5</v>
      </c>
      <c r="I770" t="s">
        <v>29</v>
      </c>
      <c r="J770" t="s">
        <v>22</v>
      </c>
      <c r="K770" s="6">
        <f t="shared" ref="K770:K833" si="48">F770*G770</f>
        <v>347</v>
      </c>
      <c r="L770" s="6">
        <f t="shared" si="45"/>
        <v>-1388</v>
      </c>
      <c r="M770" s="6">
        <f>_xlfn.XLOOKUP(E770, Products!A:A, Products!E:E)</f>
        <v>243</v>
      </c>
      <c r="N770" s="6">
        <f t="shared" si="46"/>
        <v>243</v>
      </c>
      <c r="O770" s="8">
        <f t="shared" si="47"/>
        <v>-1631</v>
      </c>
      <c r="Q770" s="8"/>
      <c r="R770" s="8"/>
    </row>
    <row r="771" spans="1:18">
      <c r="A771" s="4">
        <v>100079</v>
      </c>
      <c r="B771" s="1">
        <v>45613</v>
      </c>
      <c r="C771" s="1">
        <v>45298</v>
      </c>
      <c r="D771" t="s">
        <v>136</v>
      </c>
      <c r="E771" t="s">
        <v>144</v>
      </c>
      <c r="F771">
        <v>1</v>
      </c>
      <c r="G771">
        <v>838</v>
      </c>
      <c r="H771">
        <v>10</v>
      </c>
      <c r="I771" t="s">
        <v>29</v>
      </c>
      <c r="J771" t="s">
        <v>22</v>
      </c>
      <c r="K771" s="6">
        <f t="shared" si="48"/>
        <v>838</v>
      </c>
      <c r="L771" s="6">
        <f t="shared" ref="L771:L834" si="49">F771*G771*(1-H771)</f>
        <v>-7542</v>
      </c>
      <c r="M771" s="6">
        <f>_xlfn.XLOOKUP(E771, Products!A:A, Products!E:E)</f>
        <v>247</v>
      </c>
      <c r="N771" s="6">
        <f t="shared" ref="N771:N834" si="50">F771*M771</f>
        <v>247</v>
      </c>
      <c r="O771" s="8">
        <f t="shared" ref="O771:O834" si="51">L771-N771</f>
        <v>-7789</v>
      </c>
      <c r="Q771" s="8"/>
      <c r="R771" s="8"/>
    </row>
    <row r="772" spans="1:18">
      <c r="A772" s="4">
        <v>100675</v>
      </c>
      <c r="B772" s="1">
        <v>45613</v>
      </c>
      <c r="C772" s="1">
        <v>45296</v>
      </c>
      <c r="D772" t="s">
        <v>104</v>
      </c>
      <c r="E772" t="s">
        <v>57</v>
      </c>
      <c r="F772">
        <v>1</v>
      </c>
      <c r="G772">
        <v>1859</v>
      </c>
      <c r="H772">
        <v>0</v>
      </c>
      <c r="I772" t="s">
        <v>29</v>
      </c>
      <c r="J772" t="s">
        <v>26</v>
      </c>
      <c r="K772" s="6">
        <f t="shared" si="48"/>
        <v>1859</v>
      </c>
      <c r="L772" s="6">
        <f t="shared" si="49"/>
        <v>1859</v>
      </c>
      <c r="M772" s="6">
        <f>_xlfn.XLOOKUP(E772, Products!A:A, Products!E:E)</f>
        <v>270</v>
      </c>
      <c r="N772" s="6">
        <f t="shared" si="50"/>
        <v>270</v>
      </c>
      <c r="O772" s="8">
        <f t="shared" si="51"/>
        <v>1589</v>
      </c>
      <c r="Q772" s="8"/>
      <c r="R772" s="8"/>
    </row>
    <row r="773" spans="1:18">
      <c r="A773" s="4">
        <v>100931</v>
      </c>
      <c r="B773" s="1">
        <v>45611</v>
      </c>
      <c r="C773" s="1">
        <v>45297</v>
      </c>
      <c r="D773" t="s">
        <v>279</v>
      </c>
      <c r="E773" t="s">
        <v>85</v>
      </c>
      <c r="F773">
        <v>1</v>
      </c>
      <c r="G773">
        <v>1362</v>
      </c>
      <c r="H773">
        <v>5</v>
      </c>
      <c r="I773" t="s">
        <v>19</v>
      </c>
      <c r="J773" t="s">
        <v>13</v>
      </c>
      <c r="K773" s="6">
        <f t="shared" si="48"/>
        <v>1362</v>
      </c>
      <c r="L773" s="6">
        <f t="shared" si="49"/>
        <v>-5448</v>
      </c>
      <c r="M773" s="6">
        <f>_xlfn.XLOOKUP(E773, Products!A:A, Products!E:E)</f>
        <v>148</v>
      </c>
      <c r="N773" s="6">
        <f t="shared" si="50"/>
        <v>148</v>
      </c>
      <c r="O773" s="8">
        <f t="shared" si="51"/>
        <v>-5596</v>
      </c>
      <c r="Q773" s="8"/>
      <c r="R773" s="8"/>
    </row>
    <row r="774" spans="1:18">
      <c r="A774" s="4">
        <v>100357</v>
      </c>
      <c r="B774" s="1">
        <v>45611</v>
      </c>
      <c r="C774" s="1">
        <v>45301</v>
      </c>
      <c r="D774" t="s">
        <v>131</v>
      </c>
      <c r="E774" t="s">
        <v>85</v>
      </c>
      <c r="F774">
        <v>1</v>
      </c>
      <c r="G774">
        <v>1032</v>
      </c>
      <c r="H774">
        <v>0</v>
      </c>
      <c r="I774" t="s">
        <v>32</v>
      </c>
      <c r="J774" t="s">
        <v>22</v>
      </c>
      <c r="K774" s="6">
        <f t="shared" si="48"/>
        <v>1032</v>
      </c>
      <c r="L774" s="6">
        <f t="shared" si="49"/>
        <v>1032</v>
      </c>
      <c r="M774" s="6">
        <f>_xlfn.XLOOKUP(E774, Products!A:A, Products!E:E)</f>
        <v>148</v>
      </c>
      <c r="N774" s="6">
        <f t="shared" si="50"/>
        <v>148</v>
      </c>
      <c r="O774" s="8">
        <f t="shared" si="51"/>
        <v>884</v>
      </c>
      <c r="Q774" s="8"/>
      <c r="R774" s="8"/>
    </row>
    <row r="775" spans="1:18">
      <c r="A775" s="4">
        <v>100046</v>
      </c>
      <c r="B775" s="1">
        <v>45610</v>
      </c>
      <c r="C775" s="1">
        <v>45296</v>
      </c>
      <c r="D775" t="s">
        <v>98</v>
      </c>
      <c r="E775" t="s">
        <v>99</v>
      </c>
      <c r="F775">
        <v>1</v>
      </c>
      <c r="G775">
        <v>1449</v>
      </c>
      <c r="H775">
        <v>15</v>
      </c>
      <c r="I775" t="s">
        <v>32</v>
      </c>
      <c r="J775" t="s">
        <v>16</v>
      </c>
      <c r="K775" s="6">
        <f t="shared" si="48"/>
        <v>1449</v>
      </c>
      <c r="L775" s="6">
        <f t="shared" si="49"/>
        <v>-20286</v>
      </c>
      <c r="M775" s="6">
        <f>_xlfn.XLOOKUP(E775, Products!A:A, Products!E:E)</f>
        <v>145</v>
      </c>
      <c r="N775" s="6">
        <f t="shared" si="50"/>
        <v>145</v>
      </c>
      <c r="O775" s="8">
        <f t="shared" si="51"/>
        <v>-20431</v>
      </c>
      <c r="Q775" s="8"/>
      <c r="R775" s="8"/>
    </row>
    <row r="776" spans="1:18">
      <c r="A776" s="4">
        <v>100118</v>
      </c>
      <c r="B776" s="1">
        <v>45608</v>
      </c>
      <c r="C776" s="1">
        <v>45298</v>
      </c>
      <c r="D776" t="s">
        <v>186</v>
      </c>
      <c r="E776" t="s">
        <v>187</v>
      </c>
      <c r="F776">
        <v>1</v>
      </c>
      <c r="G776">
        <v>1173</v>
      </c>
      <c r="H776">
        <v>15</v>
      </c>
      <c r="I776" t="s">
        <v>19</v>
      </c>
      <c r="J776" t="s">
        <v>26</v>
      </c>
      <c r="K776" s="6">
        <f t="shared" si="48"/>
        <v>1173</v>
      </c>
      <c r="L776" s="6">
        <f t="shared" si="49"/>
        <v>-16422</v>
      </c>
      <c r="M776" s="6">
        <f>_xlfn.XLOOKUP(E776, Products!A:A, Products!E:E)</f>
        <v>68</v>
      </c>
      <c r="N776" s="6">
        <f t="shared" si="50"/>
        <v>68</v>
      </c>
      <c r="O776" s="8">
        <f t="shared" si="51"/>
        <v>-16490</v>
      </c>
      <c r="Q776" s="8"/>
      <c r="R776" s="8"/>
    </row>
    <row r="777" spans="1:18">
      <c r="A777" s="4">
        <v>100714</v>
      </c>
      <c r="B777" s="1">
        <v>45607</v>
      </c>
      <c r="C777" s="1">
        <v>45299</v>
      </c>
      <c r="D777" t="s">
        <v>186</v>
      </c>
      <c r="E777" t="s">
        <v>108</v>
      </c>
      <c r="F777">
        <v>1</v>
      </c>
      <c r="G777">
        <v>1114</v>
      </c>
      <c r="H777">
        <v>0</v>
      </c>
      <c r="I777" t="s">
        <v>19</v>
      </c>
      <c r="J777" t="s">
        <v>22</v>
      </c>
      <c r="K777" s="6">
        <f t="shared" si="48"/>
        <v>1114</v>
      </c>
      <c r="L777" s="6">
        <f t="shared" si="49"/>
        <v>1114</v>
      </c>
      <c r="M777" s="6">
        <f>_xlfn.XLOOKUP(E777, Products!A:A, Products!E:E)</f>
        <v>237</v>
      </c>
      <c r="N777" s="6">
        <f t="shared" si="50"/>
        <v>237</v>
      </c>
      <c r="O777" s="8">
        <f t="shared" si="51"/>
        <v>877</v>
      </c>
      <c r="Q777" s="8"/>
      <c r="R777" s="8"/>
    </row>
    <row r="778" spans="1:18">
      <c r="A778" s="4">
        <v>100907</v>
      </c>
      <c r="B778" s="1">
        <v>45606</v>
      </c>
      <c r="C778" s="1">
        <v>45302</v>
      </c>
      <c r="D778" t="s">
        <v>116</v>
      </c>
      <c r="E778" t="s">
        <v>77</v>
      </c>
      <c r="F778">
        <v>1</v>
      </c>
      <c r="G778">
        <v>1864</v>
      </c>
      <c r="H778">
        <v>0</v>
      </c>
      <c r="I778" t="s">
        <v>19</v>
      </c>
      <c r="J778" t="s">
        <v>16</v>
      </c>
      <c r="K778" s="6">
        <f t="shared" si="48"/>
        <v>1864</v>
      </c>
      <c r="L778" s="6">
        <f t="shared" si="49"/>
        <v>1864</v>
      </c>
      <c r="M778" s="6">
        <f>_xlfn.XLOOKUP(E778, Products!A:A, Products!E:E)</f>
        <v>94</v>
      </c>
      <c r="N778" s="6">
        <f t="shared" si="50"/>
        <v>94</v>
      </c>
      <c r="O778" s="8">
        <f t="shared" si="51"/>
        <v>1770</v>
      </c>
      <c r="Q778" s="8"/>
      <c r="R778" s="8"/>
    </row>
    <row r="779" spans="1:18">
      <c r="A779" s="4">
        <v>100457</v>
      </c>
      <c r="B779" s="1">
        <v>45606</v>
      </c>
      <c r="C779" s="1">
        <v>45299</v>
      </c>
      <c r="D779" t="s">
        <v>189</v>
      </c>
      <c r="E779" t="s">
        <v>112</v>
      </c>
      <c r="F779">
        <v>1</v>
      </c>
      <c r="G779">
        <v>1146</v>
      </c>
      <c r="H779">
        <v>5</v>
      </c>
      <c r="I779" t="s">
        <v>19</v>
      </c>
      <c r="J779" t="s">
        <v>22</v>
      </c>
      <c r="K779" s="6">
        <f t="shared" si="48"/>
        <v>1146</v>
      </c>
      <c r="L779" s="6">
        <f t="shared" si="49"/>
        <v>-4584</v>
      </c>
      <c r="M779" s="6">
        <f>_xlfn.XLOOKUP(E779, Products!A:A, Products!E:E)</f>
        <v>72</v>
      </c>
      <c r="N779" s="6">
        <f t="shared" si="50"/>
        <v>72</v>
      </c>
      <c r="O779" s="8">
        <f t="shared" si="51"/>
        <v>-4656</v>
      </c>
      <c r="Q779" s="8"/>
      <c r="R779" s="8"/>
    </row>
    <row r="780" spans="1:18">
      <c r="A780" s="4">
        <v>100984</v>
      </c>
      <c r="B780" s="1">
        <v>45596</v>
      </c>
      <c r="C780" s="1">
        <v>45302</v>
      </c>
      <c r="D780" t="s">
        <v>67</v>
      </c>
      <c r="E780" t="s">
        <v>145</v>
      </c>
      <c r="F780">
        <v>1</v>
      </c>
      <c r="G780">
        <v>1347</v>
      </c>
      <c r="H780">
        <v>15</v>
      </c>
      <c r="I780" t="s">
        <v>12</v>
      </c>
      <c r="J780" t="s">
        <v>26</v>
      </c>
      <c r="K780" s="6">
        <f t="shared" si="48"/>
        <v>1347</v>
      </c>
      <c r="L780" s="6">
        <f t="shared" si="49"/>
        <v>-18858</v>
      </c>
      <c r="M780" s="6">
        <f>_xlfn.XLOOKUP(E780, Products!A:A, Products!E:E)</f>
        <v>247</v>
      </c>
      <c r="N780" s="6">
        <f t="shared" si="50"/>
        <v>247</v>
      </c>
      <c r="O780" s="8">
        <f t="shared" si="51"/>
        <v>-19105</v>
      </c>
      <c r="Q780" s="8"/>
      <c r="R780" s="8"/>
    </row>
    <row r="781" spans="1:18">
      <c r="A781" s="4">
        <v>100438</v>
      </c>
      <c r="B781" s="1">
        <v>45596</v>
      </c>
      <c r="C781" s="1">
        <v>45296</v>
      </c>
      <c r="D781" t="s">
        <v>349</v>
      </c>
      <c r="E781" t="s">
        <v>71</v>
      </c>
      <c r="F781">
        <v>1</v>
      </c>
      <c r="G781">
        <v>341</v>
      </c>
      <c r="H781">
        <v>5</v>
      </c>
      <c r="I781" t="s">
        <v>32</v>
      </c>
      <c r="J781" t="s">
        <v>22</v>
      </c>
      <c r="K781" s="6">
        <f t="shared" si="48"/>
        <v>341</v>
      </c>
      <c r="L781" s="6">
        <f t="shared" si="49"/>
        <v>-1364</v>
      </c>
      <c r="M781" s="6">
        <f>_xlfn.XLOOKUP(E781, Products!A:A, Products!E:E)</f>
        <v>126</v>
      </c>
      <c r="N781" s="6">
        <f t="shared" si="50"/>
        <v>126</v>
      </c>
      <c r="O781" s="8">
        <f t="shared" si="51"/>
        <v>-1490</v>
      </c>
      <c r="Q781" s="8"/>
      <c r="R781" s="8"/>
    </row>
    <row r="782" spans="1:18">
      <c r="A782" s="4">
        <v>100695</v>
      </c>
      <c r="B782" s="1">
        <v>45594</v>
      </c>
      <c r="C782" s="1">
        <v>45300</v>
      </c>
      <c r="D782" t="s">
        <v>166</v>
      </c>
      <c r="E782" t="s">
        <v>21</v>
      </c>
      <c r="F782">
        <v>1</v>
      </c>
      <c r="G782">
        <v>1160</v>
      </c>
      <c r="H782">
        <v>0</v>
      </c>
      <c r="I782" t="s">
        <v>32</v>
      </c>
      <c r="J782" t="s">
        <v>22</v>
      </c>
      <c r="K782" s="6">
        <f t="shared" si="48"/>
        <v>1160</v>
      </c>
      <c r="L782" s="6">
        <f t="shared" si="49"/>
        <v>1160</v>
      </c>
      <c r="M782" s="6">
        <f>_xlfn.XLOOKUP(E782, Products!A:A, Products!E:E)</f>
        <v>279</v>
      </c>
      <c r="N782" s="6">
        <f t="shared" si="50"/>
        <v>279</v>
      </c>
      <c r="O782" s="8">
        <f t="shared" si="51"/>
        <v>881</v>
      </c>
      <c r="Q782" s="8"/>
      <c r="R782" s="8"/>
    </row>
    <row r="783" spans="1:18">
      <c r="A783" s="4">
        <v>100845</v>
      </c>
      <c r="B783" s="1">
        <v>45593</v>
      </c>
      <c r="C783" s="1">
        <v>45299</v>
      </c>
      <c r="D783" t="s">
        <v>235</v>
      </c>
      <c r="E783" t="s">
        <v>77</v>
      </c>
      <c r="F783">
        <v>1</v>
      </c>
      <c r="G783">
        <v>1893</v>
      </c>
      <c r="H783">
        <v>5</v>
      </c>
      <c r="I783" t="s">
        <v>29</v>
      </c>
      <c r="J783" t="s">
        <v>22</v>
      </c>
      <c r="K783" s="6">
        <f t="shared" si="48"/>
        <v>1893</v>
      </c>
      <c r="L783" s="6">
        <f t="shared" si="49"/>
        <v>-7572</v>
      </c>
      <c r="M783" s="6">
        <f>_xlfn.XLOOKUP(E783, Products!A:A, Products!E:E)</f>
        <v>94</v>
      </c>
      <c r="N783" s="6">
        <f t="shared" si="50"/>
        <v>94</v>
      </c>
      <c r="O783" s="8">
        <f t="shared" si="51"/>
        <v>-7666</v>
      </c>
      <c r="Q783" s="8"/>
      <c r="R783" s="8"/>
    </row>
    <row r="784" spans="1:18">
      <c r="A784" s="4">
        <v>100553</v>
      </c>
      <c r="B784" s="1">
        <v>45592</v>
      </c>
      <c r="C784" s="1">
        <v>45299</v>
      </c>
      <c r="D784" t="s">
        <v>168</v>
      </c>
      <c r="E784" t="s">
        <v>101</v>
      </c>
      <c r="F784">
        <v>1</v>
      </c>
      <c r="G784">
        <v>1036</v>
      </c>
      <c r="H784">
        <v>15</v>
      </c>
      <c r="I784" t="s">
        <v>29</v>
      </c>
      <c r="J784" t="s">
        <v>13</v>
      </c>
      <c r="K784" s="6">
        <f t="shared" si="48"/>
        <v>1036</v>
      </c>
      <c r="L784" s="6">
        <f t="shared" si="49"/>
        <v>-14504</v>
      </c>
      <c r="M784" s="6">
        <f>_xlfn.XLOOKUP(E784, Products!A:A, Products!E:E)</f>
        <v>126</v>
      </c>
      <c r="N784" s="6">
        <f t="shared" si="50"/>
        <v>126</v>
      </c>
      <c r="O784" s="8">
        <f t="shared" si="51"/>
        <v>-14630</v>
      </c>
      <c r="Q784" s="8"/>
      <c r="R784" s="8"/>
    </row>
    <row r="785" spans="1:18">
      <c r="A785" s="4">
        <v>100384</v>
      </c>
      <c r="B785" s="1">
        <v>45587</v>
      </c>
      <c r="C785" s="1">
        <v>45297</v>
      </c>
      <c r="D785" t="s">
        <v>208</v>
      </c>
      <c r="E785" t="s">
        <v>201</v>
      </c>
      <c r="F785">
        <v>1</v>
      </c>
      <c r="G785">
        <v>1161</v>
      </c>
      <c r="H785">
        <v>15</v>
      </c>
      <c r="I785" t="s">
        <v>12</v>
      </c>
      <c r="J785" t="s">
        <v>26</v>
      </c>
      <c r="K785" s="6">
        <f t="shared" si="48"/>
        <v>1161</v>
      </c>
      <c r="L785" s="6">
        <f t="shared" si="49"/>
        <v>-16254</v>
      </c>
      <c r="M785" s="6">
        <f>_xlfn.XLOOKUP(E785, Products!A:A, Products!E:E)</f>
        <v>123</v>
      </c>
      <c r="N785" s="6">
        <f t="shared" si="50"/>
        <v>123</v>
      </c>
      <c r="O785" s="8">
        <f t="shared" si="51"/>
        <v>-16377</v>
      </c>
      <c r="Q785" s="8"/>
      <c r="R785" s="8"/>
    </row>
    <row r="786" spans="1:18">
      <c r="A786" s="4">
        <v>100606</v>
      </c>
      <c r="B786" s="1">
        <v>45584</v>
      </c>
      <c r="C786" s="1">
        <v>45296</v>
      </c>
      <c r="D786" t="s">
        <v>130</v>
      </c>
      <c r="E786" t="s">
        <v>137</v>
      </c>
      <c r="F786">
        <v>1</v>
      </c>
      <c r="G786">
        <v>926</v>
      </c>
      <c r="H786">
        <v>5</v>
      </c>
      <c r="I786" t="s">
        <v>19</v>
      </c>
      <c r="J786" t="s">
        <v>26</v>
      </c>
      <c r="K786" s="6">
        <f t="shared" si="48"/>
        <v>926</v>
      </c>
      <c r="L786" s="6">
        <f t="shared" si="49"/>
        <v>-3704</v>
      </c>
      <c r="M786" s="6">
        <f>_xlfn.XLOOKUP(E786, Products!A:A, Products!E:E)</f>
        <v>239</v>
      </c>
      <c r="N786" s="6">
        <f t="shared" si="50"/>
        <v>239</v>
      </c>
      <c r="O786" s="8">
        <f t="shared" si="51"/>
        <v>-3943</v>
      </c>
      <c r="Q786" s="8"/>
      <c r="R786" s="8"/>
    </row>
    <row r="787" spans="1:18">
      <c r="A787" s="4">
        <v>100983</v>
      </c>
      <c r="B787" s="1">
        <v>45581</v>
      </c>
      <c r="C787" s="1">
        <v>45297</v>
      </c>
      <c r="D787" t="s">
        <v>241</v>
      </c>
      <c r="E787" t="s">
        <v>91</v>
      </c>
      <c r="F787">
        <v>1</v>
      </c>
      <c r="G787">
        <v>1582</v>
      </c>
      <c r="H787">
        <v>10</v>
      </c>
      <c r="I787" t="s">
        <v>29</v>
      </c>
      <c r="J787" t="s">
        <v>26</v>
      </c>
      <c r="K787" s="6">
        <f t="shared" si="48"/>
        <v>1582</v>
      </c>
      <c r="L787" s="6">
        <f t="shared" si="49"/>
        <v>-14238</v>
      </c>
      <c r="M787" s="6">
        <f>_xlfn.XLOOKUP(E787, Products!A:A, Products!E:E)</f>
        <v>243</v>
      </c>
      <c r="N787" s="6">
        <f t="shared" si="50"/>
        <v>243</v>
      </c>
      <c r="O787" s="8">
        <f t="shared" si="51"/>
        <v>-14481</v>
      </c>
      <c r="Q787" s="8"/>
      <c r="R787" s="8"/>
    </row>
    <row r="788" spans="1:18">
      <c r="A788" s="4">
        <v>100707</v>
      </c>
      <c r="B788" s="1">
        <v>45580</v>
      </c>
      <c r="C788" s="1">
        <v>45298</v>
      </c>
      <c r="D788" t="s">
        <v>177</v>
      </c>
      <c r="E788" t="s">
        <v>61</v>
      </c>
      <c r="F788">
        <v>1</v>
      </c>
      <c r="G788">
        <v>1369</v>
      </c>
      <c r="H788">
        <v>10</v>
      </c>
      <c r="I788" t="s">
        <v>29</v>
      </c>
      <c r="J788" t="s">
        <v>22</v>
      </c>
      <c r="K788" s="6">
        <f t="shared" si="48"/>
        <v>1369</v>
      </c>
      <c r="L788" s="6">
        <f t="shared" si="49"/>
        <v>-12321</v>
      </c>
      <c r="M788" s="6">
        <f>_xlfn.XLOOKUP(E788, Products!A:A, Products!E:E)</f>
        <v>65</v>
      </c>
      <c r="N788" s="6">
        <f t="shared" si="50"/>
        <v>65</v>
      </c>
      <c r="O788" s="8">
        <f t="shared" si="51"/>
        <v>-12386</v>
      </c>
      <c r="Q788" s="8"/>
      <c r="R788" s="8"/>
    </row>
    <row r="789" spans="1:18">
      <c r="A789" s="4">
        <v>100331</v>
      </c>
      <c r="B789" s="1">
        <v>45580</v>
      </c>
      <c r="C789" s="1">
        <v>45298</v>
      </c>
      <c r="D789" t="s">
        <v>310</v>
      </c>
      <c r="E789" t="s">
        <v>103</v>
      </c>
      <c r="F789">
        <v>1</v>
      </c>
      <c r="G789">
        <v>1318</v>
      </c>
      <c r="H789">
        <v>15</v>
      </c>
      <c r="I789" t="s">
        <v>29</v>
      </c>
      <c r="J789" t="s">
        <v>16</v>
      </c>
      <c r="K789" s="6">
        <f t="shared" si="48"/>
        <v>1318</v>
      </c>
      <c r="L789" s="6">
        <f t="shared" si="49"/>
        <v>-18452</v>
      </c>
      <c r="M789" s="6">
        <f>_xlfn.XLOOKUP(E789, Products!A:A, Products!E:E)</f>
        <v>185</v>
      </c>
      <c r="N789" s="6">
        <f t="shared" si="50"/>
        <v>185</v>
      </c>
      <c r="O789" s="8">
        <f t="shared" si="51"/>
        <v>-18637</v>
      </c>
      <c r="Q789" s="8"/>
      <c r="R789" s="8"/>
    </row>
    <row r="790" spans="1:18">
      <c r="A790" s="4">
        <v>100820</v>
      </c>
      <c r="B790" s="1">
        <v>45579</v>
      </c>
      <c r="C790" s="1">
        <v>45294</v>
      </c>
      <c r="D790" t="s">
        <v>150</v>
      </c>
      <c r="E790" t="s">
        <v>269</v>
      </c>
      <c r="F790">
        <v>1</v>
      </c>
      <c r="G790">
        <v>1913</v>
      </c>
      <c r="H790">
        <v>10</v>
      </c>
      <c r="I790" t="s">
        <v>32</v>
      </c>
      <c r="J790" t="s">
        <v>26</v>
      </c>
      <c r="K790" s="6">
        <f t="shared" si="48"/>
        <v>1913</v>
      </c>
      <c r="L790" s="6">
        <f t="shared" si="49"/>
        <v>-17217</v>
      </c>
      <c r="M790" s="6">
        <f>_xlfn.XLOOKUP(E790, Products!A:A, Products!E:E)</f>
        <v>128</v>
      </c>
      <c r="N790" s="6">
        <f t="shared" si="50"/>
        <v>128</v>
      </c>
      <c r="O790" s="8">
        <f t="shared" si="51"/>
        <v>-17345</v>
      </c>
      <c r="Q790" s="8"/>
      <c r="R790" s="8"/>
    </row>
    <row r="791" spans="1:18">
      <c r="A791" s="4">
        <v>100098</v>
      </c>
      <c r="B791" s="1">
        <v>45577</v>
      </c>
      <c r="C791" s="1">
        <v>45295</v>
      </c>
      <c r="D791" t="s">
        <v>20</v>
      </c>
      <c r="E791" t="s">
        <v>85</v>
      </c>
      <c r="F791">
        <v>1</v>
      </c>
      <c r="G791">
        <v>227</v>
      </c>
      <c r="H791">
        <v>10</v>
      </c>
      <c r="I791" t="s">
        <v>19</v>
      </c>
      <c r="J791" t="s">
        <v>16</v>
      </c>
      <c r="K791" s="6">
        <f t="shared" si="48"/>
        <v>227</v>
      </c>
      <c r="L791" s="6">
        <f t="shared" si="49"/>
        <v>-2043</v>
      </c>
      <c r="M791" s="6">
        <f>_xlfn.XLOOKUP(E791, Products!A:A, Products!E:E)</f>
        <v>148</v>
      </c>
      <c r="N791" s="6">
        <f t="shared" si="50"/>
        <v>148</v>
      </c>
      <c r="O791" s="8">
        <f t="shared" si="51"/>
        <v>-2191</v>
      </c>
      <c r="Q791" s="8"/>
      <c r="R791" s="8"/>
    </row>
    <row r="792" spans="1:18">
      <c r="A792" s="4">
        <v>100202</v>
      </c>
      <c r="B792" s="1">
        <v>45574</v>
      </c>
      <c r="C792" s="1">
        <v>45294</v>
      </c>
      <c r="D792" t="s">
        <v>166</v>
      </c>
      <c r="E792" t="s">
        <v>59</v>
      </c>
      <c r="F792">
        <v>1</v>
      </c>
      <c r="G792">
        <v>1882</v>
      </c>
      <c r="H792">
        <v>10</v>
      </c>
      <c r="I792" t="s">
        <v>19</v>
      </c>
      <c r="J792" t="s">
        <v>22</v>
      </c>
      <c r="K792" s="6">
        <f t="shared" si="48"/>
        <v>1882</v>
      </c>
      <c r="L792" s="6">
        <f t="shared" si="49"/>
        <v>-16938</v>
      </c>
      <c r="M792" s="6">
        <f>_xlfn.XLOOKUP(E792, Products!A:A, Products!E:E)</f>
        <v>116</v>
      </c>
      <c r="N792" s="6">
        <f t="shared" si="50"/>
        <v>116</v>
      </c>
      <c r="O792" s="8">
        <f t="shared" si="51"/>
        <v>-17054</v>
      </c>
      <c r="Q792" s="8"/>
      <c r="R792" s="8"/>
    </row>
    <row r="793" spans="1:18">
      <c r="A793" s="4">
        <v>100579</v>
      </c>
      <c r="B793" s="1">
        <v>45572</v>
      </c>
      <c r="C793" s="1">
        <v>45297</v>
      </c>
      <c r="D793" t="s">
        <v>372</v>
      </c>
      <c r="E793" t="s">
        <v>164</v>
      </c>
      <c r="F793">
        <v>1</v>
      </c>
      <c r="G793">
        <v>1171</v>
      </c>
      <c r="H793">
        <v>5</v>
      </c>
      <c r="I793" t="s">
        <v>29</v>
      </c>
      <c r="J793" t="s">
        <v>13</v>
      </c>
      <c r="K793" s="6">
        <f t="shared" si="48"/>
        <v>1171</v>
      </c>
      <c r="L793" s="6">
        <f t="shared" si="49"/>
        <v>-4684</v>
      </c>
      <c r="M793" s="6">
        <f>_xlfn.XLOOKUP(E793, Products!A:A, Products!E:E)</f>
        <v>156</v>
      </c>
      <c r="N793" s="6">
        <f t="shared" si="50"/>
        <v>156</v>
      </c>
      <c r="O793" s="8">
        <f t="shared" si="51"/>
        <v>-4840</v>
      </c>
      <c r="Q793" s="8"/>
      <c r="R793" s="8"/>
    </row>
    <row r="794" spans="1:18">
      <c r="A794" s="4">
        <v>100921</v>
      </c>
      <c r="B794" s="1">
        <v>45571</v>
      </c>
      <c r="C794" s="1">
        <v>45300</v>
      </c>
      <c r="D794" t="s">
        <v>368</v>
      </c>
      <c r="E794" t="s">
        <v>61</v>
      </c>
      <c r="F794">
        <v>1</v>
      </c>
      <c r="G794">
        <v>1151</v>
      </c>
      <c r="H794">
        <v>0</v>
      </c>
      <c r="I794" t="s">
        <v>19</v>
      </c>
      <c r="J794" t="s">
        <v>22</v>
      </c>
      <c r="K794" s="6">
        <f t="shared" si="48"/>
        <v>1151</v>
      </c>
      <c r="L794" s="6">
        <f t="shared" si="49"/>
        <v>1151</v>
      </c>
      <c r="M794" s="6">
        <f>_xlfn.XLOOKUP(E794, Products!A:A, Products!E:E)</f>
        <v>65</v>
      </c>
      <c r="N794" s="6">
        <f t="shared" si="50"/>
        <v>65</v>
      </c>
      <c r="O794" s="8">
        <f t="shared" si="51"/>
        <v>1086</v>
      </c>
      <c r="Q794" s="8"/>
      <c r="R794" s="8"/>
    </row>
    <row r="795" spans="1:18">
      <c r="A795" s="4">
        <v>100252</v>
      </c>
      <c r="B795" s="1">
        <v>45571</v>
      </c>
      <c r="C795" s="1">
        <v>45299</v>
      </c>
      <c r="D795" t="s">
        <v>113</v>
      </c>
      <c r="E795" t="s">
        <v>57</v>
      </c>
      <c r="F795">
        <v>1</v>
      </c>
      <c r="G795">
        <v>1526</v>
      </c>
      <c r="H795">
        <v>15</v>
      </c>
      <c r="I795" t="s">
        <v>19</v>
      </c>
      <c r="J795" t="s">
        <v>26</v>
      </c>
      <c r="K795" s="6">
        <f t="shared" si="48"/>
        <v>1526</v>
      </c>
      <c r="L795" s="6">
        <f t="shared" si="49"/>
        <v>-21364</v>
      </c>
      <c r="M795" s="6">
        <f>_xlfn.XLOOKUP(E795, Products!A:A, Products!E:E)</f>
        <v>270</v>
      </c>
      <c r="N795" s="6">
        <f t="shared" si="50"/>
        <v>270</v>
      </c>
      <c r="O795" s="8">
        <f t="shared" si="51"/>
        <v>-21634</v>
      </c>
      <c r="Q795" s="8"/>
      <c r="R795" s="8"/>
    </row>
    <row r="796" spans="1:18">
      <c r="A796" s="4">
        <v>100140</v>
      </c>
      <c r="B796" s="1">
        <v>45568</v>
      </c>
      <c r="C796" s="1">
        <v>45297</v>
      </c>
      <c r="D796" t="s">
        <v>121</v>
      </c>
      <c r="E796" t="s">
        <v>207</v>
      </c>
      <c r="F796">
        <v>1</v>
      </c>
      <c r="G796">
        <v>1860</v>
      </c>
      <c r="H796">
        <v>10</v>
      </c>
      <c r="I796" t="s">
        <v>19</v>
      </c>
      <c r="J796" t="s">
        <v>26</v>
      </c>
      <c r="K796" s="6">
        <f t="shared" si="48"/>
        <v>1860</v>
      </c>
      <c r="L796" s="6">
        <f t="shared" si="49"/>
        <v>-16740</v>
      </c>
      <c r="M796" s="6">
        <f>_xlfn.XLOOKUP(E796, Products!A:A, Products!E:E)</f>
        <v>147</v>
      </c>
      <c r="N796" s="6">
        <f t="shared" si="50"/>
        <v>147</v>
      </c>
      <c r="O796" s="8">
        <f t="shared" si="51"/>
        <v>-16887</v>
      </c>
      <c r="Q796" s="8"/>
      <c r="R796" s="8"/>
    </row>
    <row r="797" spans="1:18">
      <c r="A797" s="4">
        <v>100752</v>
      </c>
      <c r="B797" s="1">
        <v>45568</v>
      </c>
      <c r="C797" s="1">
        <v>45298</v>
      </c>
      <c r="D797" t="s">
        <v>362</v>
      </c>
      <c r="E797" t="s">
        <v>142</v>
      </c>
      <c r="F797">
        <v>1</v>
      </c>
      <c r="G797">
        <v>508</v>
      </c>
      <c r="H797">
        <v>10</v>
      </c>
      <c r="I797" t="s">
        <v>12</v>
      </c>
      <c r="J797" t="s">
        <v>16</v>
      </c>
      <c r="K797" s="6">
        <f t="shared" si="48"/>
        <v>508</v>
      </c>
      <c r="L797" s="6">
        <f t="shared" si="49"/>
        <v>-4572</v>
      </c>
      <c r="M797" s="6">
        <f>_xlfn.XLOOKUP(E797, Products!A:A, Products!E:E)</f>
        <v>276</v>
      </c>
      <c r="N797" s="6">
        <f t="shared" si="50"/>
        <v>276</v>
      </c>
      <c r="O797" s="8">
        <f t="shared" si="51"/>
        <v>-4848</v>
      </c>
      <c r="Q797" s="8"/>
      <c r="R797" s="8"/>
    </row>
    <row r="798" spans="1:18">
      <c r="A798" s="4">
        <v>100683</v>
      </c>
      <c r="B798" s="1">
        <v>45566</v>
      </c>
      <c r="C798" s="1">
        <v>45294</v>
      </c>
      <c r="D798" t="s">
        <v>259</v>
      </c>
      <c r="E798" t="s">
        <v>44</v>
      </c>
      <c r="F798">
        <v>1</v>
      </c>
      <c r="G798">
        <v>667</v>
      </c>
      <c r="H798">
        <v>15</v>
      </c>
      <c r="I798" t="s">
        <v>32</v>
      </c>
      <c r="J798" t="s">
        <v>16</v>
      </c>
      <c r="K798" s="6">
        <f t="shared" si="48"/>
        <v>667</v>
      </c>
      <c r="L798" s="6">
        <f t="shared" si="49"/>
        <v>-9338</v>
      </c>
      <c r="M798" s="6">
        <f>_xlfn.XLOOKUP(E798, Products!A:A, Products!E:E)</f>
        <v>204</v>
      </c>
      <c r="N798" s="6">
        <f t="shared" si="50"/>
        <v>204</v>
      </c>
      <c r="O798" s="8">
        <f t="shared" si="51"/>
        <v>-9542</v>
      </c>
      <c r="Q798" s="8"/>
      <c r="R798" s="8"/>
    </row>
    <row r="799" spans="1:18">
      <c r="A799" s="4">
        <v>100199</v>
      </c>
      <c r="B799" s="1">
        <v>45563</v>
      </c>
      <c r="C799" s="1">
        <v>45294</v>
      </c>
      <c r="D799" t="s">
        <v>244</v>
      </c>
      <c r="E799" t="s">
        <v>59</v>
      </c>
      <c r="F799">
        <v>1</v>
      </c>
      <c r="G799">
        <v>562</v>
      </c>
      <c r="H799">
        <v>0</v>
      </c>
      <c r="I799" t="s">
        <v>12</v>
      </c>
      <c r="J799" t="s">
        <v>22</v>
      </c>
      <c r="K799" s="6">
        <f t="shared" si="48"/>
        <v>562</v>
      </c>
      <c r="L799" s="6">
        <f t="shared" si="49"/>
        <v>562</v>
      </c>
      <c r="M799" s="6">
        <f>_xlfn.XLOOKUP(E799, Products!A:A, Products!E:E)</f>
        <v>116</v>
      </c>
      <c r="N799" s="6">
        <f t="shared" si="50"/>
        <v>116</v>
      </c>
      <c r="O799" s="8">
        <f t="shared" si="51"/>
        <v>446</v>
      </c>
      <c r="Q799" s="8"/>
      <c r="R799" s="8"/>
    </row>
    <row r="800" spans="1:18">
      <c r="A800" s="4">
        <v>100442</v>
      </c>
      <c r="B800" s="1">
        <v>45562</v>
      </c>
      <c r="C800" s="1">
        <v>45300</v>
      </c>
      <c r="D800" t="s">
        <v>307</v>
      </c>
      <c r="E800" t="s">
        <v>123</v>
      </c>
      <c r="F800">
        <v>1</v>
      </c>
      <c r="G800">
        <v>1588</v>
      </c>
      <c r="H800">
        <v>5</v>
      </c>
      <c r="I800" t="s">
        <v>19</v>
      </c>
      <c r="J800" t="s">
        <v>16</v>
      </c>
      <c r="K800" s="6">
        <f t="shared" si="48"/>
        <v>1588</v>
      </c>
      <c r="L800" s="6">
        <f t="shared" si="49"/>
        <v>-6352</v>
      </c>
      <c r="M800" s="6">
        <f>_xlfn.XLOOKUP(E800, Products!A:A, Products!E:E)</f>
        <v>154</v>
      </c>
      <c r="N800" s="6">
        <f t="shared" si="50"/>
        <v>154</v>
      </c>
      <c r="O800" s="8">
        <f t="shared" si="51"/>
        <v>-6506</v>
      </c>
      <c r="Q800" s="8"/>
      <c r="R800" s="8"/>
    </row>
    <row r="801" spans="1:18">
      <c r="A801" s="4">
        <v>100957</v>
      </c>
      <c r="B801" s="1">
        <v>45561</v>
      </c>
      <c r="C801" s="1">
        <v>45300</v>
      </c>
      <c r="D801" t="s">
        <v>162</v>
      </c>
      <c r="E801" t="s">
        <v>95</v>
      </c>
      <c r="F801">
        <v>1</v>
      </c>
      <c r="G801">
        <v>1087</v>
      </c>
      <c r="H801">
        <v>15</v>
      </c>
      <c r="I801" t="s">
        <v>12</v>
      </c>
      <c r="J801" t="s">
        <v>22</v>
      </c>
      <c r="K801" s="6">
        <f t="shared" si="48"/>
        <v>1087</v>
      </c>
      <c r="L801" s="6">
        <f t="shared" si="49"/>
        <v>-15218</v>
      </c>
      <c r="M801" s="6">
        <f>_xlfn.XLOOKUP(E801, Products!A:A, Products!E:E)</f>
        <v>113</v>
      </c>
      <c r="N801" s="6">
        <f t="shared" si="50"/>
        <v>113</v>
      </c>
      <c r="O801" s="8">
        <f t="shared" si="51"/>
        <v>-15331</v>
      </c>
      <c r="Q801" s="8"/>
      <c r="R801" s="8"/>
    </row>
    <row r="802" spans="1:18">
      <c r="A802" s="4">
        <v>100909</v>
      </c>
      <c r="B802" s="1">
        <v>45560</v>
      </c>
      <c r="C802" s="1">
        <v>45296</v>
      </c>
      <c r="D802" t="s">
        <v>155</v>
      </c>
      <c r="E802" t="s">
        <v>236</v>
      </c>
      <c r="F802">
        <v>1</v>
      </c>
      <c r="G802">
        <v>1021</v>
      </c>
      <c r="H802">
        <v>10</v>
      </c>
      <c r="I802" t="s">
        <v>12</v>
      </c>
      <c r="J802" t="s">
        <v>16</v>
      </c>
      <c r="K802" s="6">
        <f t="shared" si="48"/>
        <v>1021</v>
      </c>
      <c r="L802" s="6">
        <f t="shared" si="49"/>
        <v>-9189</v>
      </c>
      <c r="M802" s="6">
        <f>_xlfn.XLOOKUP(E802, Products!A:A, Products!E:E)</f>
        <v>120</v>
      </c>
      <c r="N802" s="6">
        <f t="shared" si="50"/>
        <v>120</v>
      </c>
      <c r="O802" s="8">
        <f t="shared" si="51"/>
        <v>-9309</v>
      </c>
      <c r="Q802" s="8"/>
      <c r="R802" s="8"/>
    </row>
    <row r="803" spans="1:18">
      <c r="A803" s="4">
        <v>100950</v>
      </c>
      <c r="B803" s="1">
        <v>45559</v>
      </c>
      <c r="C803" s="1">
        <v>45298</v>
      </c>
      <c r="D803" t="s">
        <v>109</v>
      </c>
      <c r="E803" t="s">
        <v>120</v>
      </c>
      <c r="F803">
        <v>1</v>
      </c>
      <c r="G803">
        <v>609</v>
      </c>
      <c r="H803">
        <v>0</v>
      </c>
      <c r="I803" t="s">
        <v>12</v>
      </c>
      <c r="J803" t="s">
        <v>13</v>
      </c>
      <c r="K803" s="6">
        <f t="shared" si="48"/>
        <v>609</v>
      </c>
      <c r="L803" s="6">
        <f t="shared" si="49"/>
        <v>609</v>
      </c>
      <c r="M803" s="6">
        <f>_xlfn.XLOOKUP(E803, Products!A:A, Products!E:E)</f>
        <v>52</v>
      </c>
      <c r="N803" s="6">
        <f t="shared" si="50"/>
        <v>52</v>
      </c>
      <c r="O803" s="8">
        <f t="shared" si="51"/>
        <v>557</v>
      </c>
      <c r="Q803" s="8"/>
      <c r="R803" s="8"/>
    </row>
    <row r="804" spans="1:18">
      <c r="A804" s="4">
        <v>100654</v>
      </c>
      <c r="B804" s="1">
        <v>45559</v>
      </c>
      <c r="C804" s="1">
        <v>45294</v>
      </c>
      <c r="D804" t="s">
        <v>383</v>
      </c>
      <c r="E804" t="s">
        <v>298</v>
      </c>
      <c r="F804">
        <v>1</v>
      </c>
      <c r="G804">
        <v>1748</v>
      </c>
      <c r="H804">
        <v>0</v>
      </c>
      <c r="I804" t="s">
        <v>29</v>
      </c>
      <c r="J804" t="s">
        <v>13</v>
      </c>
      <c r="K804" s="6">
        <f t="shared" si="48"/>
        <v>1748</v>
      </c>
      <c r="L804" s="6">
        <f t="shared" si="49"/>
        <v>1748</v>
      </c>
      <c r="M804" s="6">
        <f>_xlfn.XLOOKUP(E804, Products!A:A, Products!E:E)</f>
        <v>171</v>
      </c>
      <c r="N804" s="6">
        <f t="shared" si="50"/>
        <v>171</v>
      </c>
      <c r="O804" s="8">
        <f t="shared" si="51"/>
        <v>1577</v>
      </c>
      <c r="Q804" s="8"/>
      <c r="R804" s="8"/>
    </row>
    <row r="805" spans="1:18">
      <c r="A805" s="4">
        <v>100977</v>
      </c>
      <c r="B805" s="1">
        <v>45557</v>
      </c>
      <c r="C805" s="1">
        <v>45301</v>
      </c>
      <c r="D805" t="s">
        <v>173</v>
      </c>
      <c r="E805" t="s">
        <v>187</v>
      </c>
      <c r="F805">
        <v>1</v>
      </c>
      <c r="G805">
        <v>1739</v>
      </c>
      <c r="H805">
        <v>5</v>
      </c>
      <c r="I805" t="s">
        <v>32</v>
      </c>
      <c r="J805" t="s">
        <v>16</v>
      </c>
      <c r="K805" s="6">
        <f t="shared" si="48"/>
        <v>1739</v>
      </c>
      <c r="L805" s="6">
        <f t="shared" si="49"/>
        <v>-6956</v>
      </c>
      <c r="M805" s="6">
        <f>_xlfn.XLOOKUP(E805, Products!A:A, Products!E:E)</f>
        <v>68</v>
      </c>
      <c r="N805" s="6">
        <f t="shared" si="50"/>
        <v>68</v>
      </c>
      <c r="O805" s="8">
        <f t="shared" si="51"/>
        <v>-7024</v>
      </c>
      <c r="Q805" s="8"/>
      <c r="R805" s="8"/>
    </row>
    <row r="806" spans="1:18">
      <c r="A806" s="4">
        <v>100134</v>
      </c>
      <c r="B806" s="1">
        <v>45557</v>
      </c>
      <c r="C806" s="1">
        <v>45299</v>
      </c>
      <c r="D806" t="s">
        <v>196</v>
      </c>
      <c r="E806" t="s">
        <v>170</v>
      </c>
      <c r="F806">
        <v>1</v>
      </c>
      <c r="G806">
        <v>1503</v>
      </c>
      <c r="H806">
        <v>0</v>
      </c>
      <c r="I806" t="s">
        <v>32</v>
      </c>
      <c r="J806" t="s">
        <v>13</v>
      </c>
      <c r="K806" s="6">
        <f t="shared" si="48"/>
        <v>1503</v>
      </c>
      <c r="L806" s="6">
        <f t="shared" si="49"/>
        <v>1503</v>
      </c>
      <c r="M806" s="6">
        <f>_xlfn.XLOOKUP(E806, Products!A:A, Products!E:E)</f>
        <v>264</v>
      </c>
      <c r="N806" s="6">
        <f t="shared" si="50"/>
        <v>264</v>
      </c>
      <c r="O806" s="8">
        <f t="shared" si="51"/>
        <v>1239</v>
      </c>
      <c r="Q806" s="8"/>
      <c r="R806" s="8"/>
    </row>
    <row r="807" spans="1:18">
      <c r="A807" s="4">
        <v>100991</v>
      </c>
      <c r="B807" s="1">
        <v>45556</v>
      </c>
      <c r="C807" s="1">
        <v>45301</v>
      </c>
      <c r="D807" t="s">
        <v>388</v>
      </c>
      <c r="E807" t="s">
        <v>120</v>
      </c>
      <c r="F807">
        <v>1</v>
      </c>
      <c r="G807">
        <v>1444</v>
      </c>
      <c r="H807">
        <v>5</v>
      </c>
      <c r="I807" t="s">
        <v>32</v>
      </c>
      <c r="J807" t="s">
        <v>26</v>
      </c>
      <c r="K807" s="6">
        <f t="shared" si="48"/>
        <v>1444</v>
      </c>
      <c r="L807" s="6">
        <f t="shared" si="49"/>
        <v>-5776</v>
      </c>
      <c r="M807" s="6">
        <f>_xlfn.XLOOKUP(E807, Products!A:A, Products!E:E)</f>
        <v>52</v>
      </c>
      <c r="N807" s="6">
        <f t="shared" si="50"/>
        <v>52</v>
      </c>
      <c r="O807" s="8">
        <f t="shared" si="51"/>
        <v>-5828</v>
      </c>
      <c r="Q807" s="8"/>
      <c r="R807" s="8"/>
    </row>
    <row r="808" spans="1:18">
      <c r="A808" s="4">
        <v>100048</v>
      </c>
      <c r="B808" s="1">
        <v>45556</v>
      </c>
      <c r="C808" s="1">
        <v>45296</v>
      </c>
      <c r="D808" t="s">
        <v>102</v>
      </c>
      <c r="E808" t="s">
        <v>103</v>
      </c>
      <c r="F808">
        <v>1</v>
      </c>
      <c r="G808">
        <v>323</v>
      </c>
      <c r="H808">
        <v>15</v>
      </c>
      <c r="I808" t="s">
        <v>29</v>
      </c>
      <c r="J808" t="s">
        <v>26</v>
      </c>
      <c r="K808" s="6">
        <f t="shared" si="48"/>
        <v>323</v>
      </c>
      <c r="L808" s="6">
        <f t="shared" si="49"/>
        <v>-4522</v>
      </c>
      <c r="M808" s="6">
        <f>_xlfn.XLOOKUP(E808, Products!A:A, Products!E:E)</f>
        <v>185</v>
      </c>
      <c r="N808" s="6">
        <f t="shared" si="50"/>
        <v>185</v>
      </c>
      <c r="O808" s="8">
        <f t="shared" si="51"/>
        <v>-4707</v>
      </c>
      <c r="Q808" s="8"/>
      <c r="R808" s="8"/>
    </row>
    <row r="809" spans="1:18">
      <c r="A809" s="4">
        <v>100119</v>
      </c>
      <c r="B809" s="1">
        <v>45554</v>
      </c>
      <c r="C809" s="1">
        <v>45301</v>
      </c>
      <c r="D809" t="s">
        <v>124</v>
      </c>
      <c r="E809" t="s">
        <v>103</v>
      </c>
      <c r="F809">
        <v>1</v>
      </c>
      <c r="G809">
        <v>1253</v>
      </c>
      <c r="H809">
        <v>5</v>
      </c>
      <c r="I809" t="s">
        <v>29</v>
      </c>
      <c r="J809" t="s">
        <v>26</v>
      </c>
      <c r="K809" s="6">
        <f t="shared" si="48"/>
        <v>1253</v>
      </c>
      <c r="L809" s="6">
        <f t="shared" si="49"/>
        <v>-5012</v>
      </c>
      <c r="M809" s="6">
        <f>_xlfn.XLOOKUP(E809, Products!A:A, Products!E:E)</f>
        <v>185</v>
      </c>
      <c r="N809" s="6">
        <f t="shared" si="50"/>
        <v>185</v>
      </c>
      <c r="O809" s="8">
        <f t="shared" si="51"/>
        <v>-5197</v>
      </c>
      <c r="Q809" s="8"/>
      <c r="R809" s="8"/>
    </row>
    <row r="810" spans="1:18">
      <c r="A810" s="4">
        <v>100468</v>
      </c>
      <c r="B810" s="1">
        <v>45553</v>
      </c>
      <c r="C810" s="1">
        <v>45296</v>
      </c>
      <c r="D810" t="s">
        <v>356</v>
      </c>
      <c r="E810" t="s">
        <v>207</v>
      </c>
      <c r="F810">
        <v>1</v>
      </c>
      <c r="G810">
        <v>1878</v>
      </c>
      <c r="H810">
        <v>15</v>
      </c>
      <c r="I810" t="s">
        <v>29</v>
      </c>
      <c r="J810" t="s">
        <v>22</v>
      </c>
      <c r="K810" s="6">
        <f t="shared" si="48"/>
        <v>1878</v>
      </c>
      <c r="L810" s="6">
        <f t="shared" si="49"/>
        <v>-26292</v>
      </c>
      <c r="M810" s="6">
        <f>_xlfn.XLOOKUP(E810, Products!A:A, Products!E:E)</f>
        <v>147</v>
      </c>
      <c r="N810" s="6">
        <f t="shared" si="50"/>
        <v>147</v>
      </c>
      <c r="O810" s="8">
        <f t="shared" si="51"/>
        <v>-26439</v>
      </c>
      <c r="Q810" s="8"/>
      <c r="R810" s="8"/>
    </row>
    <row r="811" spans="1:18">
      <c r="A811" s="4">
        <v>100220</v>
      </c>
      <c r="B811" s="1">
        <v>45553</v>
      </c>
      <c r="C811" s="1">
        <v>45296</v>
      </c>
      <c r="D811" t="s">
        <v>235</v>
      </c>
      <c r="E811" t="s">
        <v>87</v>
      </c>
      <c r="F811">
        <v>1</v>
      </c>
      <c r="G811">
        <v>1970</v>
      </c>
      <c r="H811">
        <v>0</v>
      </c>
      <c r="I811" t="s">
        <v>29</v>
      </c>
      <c r="J811" t="s">
        <v>16</v>
      </c>
      <c r="K811" s="6">
        <f t="shared" si="48"/>
        <v>1970</v>
      </c>
      <c r="L811" s="6">
        <f t="shared" si="49"/>
        <v>1970</v>
      </c>
      <c r="M811" s="6">
        <f>_xlfn.XLOOKUP(E811, Products!A:A, Products!E:E)</f>
        <v>269</v>
      </c>
      <c r="N811" s="6">
        <f t="shared" si="50"/>
        <v>269</v>
      </c>
      <c r="O811" s="8">
        <f t="shared" si="51"/>
        <v>1701</v>
      </c>
      <c r="Q811" s="8"/>
      <c r="R811" s="8"/>
    </row>
    <row r="812" spans="1:18">
      <c r="A812" s="4">
        <v>100777</v>
      </c>
      <c r="B812" s="1">
        <v>45553</v>
      </c>
      <c r="C812" s="1">
        <v>45297</v>
      </c>
      <c r="D812" t="s">
        <v>390</v>
      </c>
      <c r="E812" t="s">
        <v>59</v>
      </c>
      <c r="F812">
        <v>1</v>
      </c>
      <c r="G812">
        <v>600</v>
      </c>
      <c r="H812">
        <v>0</v>
      </c>
      <c r="I812" t="s">
        <v>32</v>
      </c>
      <c r="J812" t="s">
        <v>16</v>
      </c>
      <c r="K812" s="6">
        <f t="shared" si="48"/>
        <v>600</v>
      </c>
      <c r="L812" s="6">
        <f t="shared" si="49"/>
        <v>600</v>
      </c>
      <c r="M812" s="6">
        <f>_xlfn.XLOOKUP(E812, Products!A:A, Products!E:E)</f>
        <v>116</v>
      </c>
      <c r="N812" s="6">
        <f t="shared" si="50"/>
        <v>116</v>
      </c>
      <c r="O812" s="8">
        <f t="shared" si="51"/>
        <v>484</v>
      </c>
      <c r="Q812" s="8"/>
      <c r="R812" s="8"/>
    </row>
    <row r="813" spans="1:18">
      <c r="A813" s="4">
        <v>100796</v>
      </c>
      <c r="B813" s="1">
        <v>45550</v>
      </c>
      <c r="C813" s="1">
        <v>45300</v>
      </c>
      <c r="D813" t="s">
        <v>294</v>
      </c>
      <c r="E813" t="s">
        <v>115</v>
      </c>
      <c r="F813">
        <v>1</v>
      </c>
      <c r="G813">
        <v>1627</v>
      </c>
      <c r="H813">
        <v>5</v>
      </c>
      <c r="I813" t="s">
        <v>12</v>
      </c>
      <c r="J813" t="s">
        <v>16</v>
      </c>
      <c r="K813" s="6">
        <f t="shared" si="48"/>
        <v>1627</v>
      </c>
      <c r="L813" s="6">
        <f t="shared" si="49"/>
        <v>-6508</v>
      </c>
      <c r="M813" s="6">
        <f>_xlfn.XLOOKUP(E813, Products!A:A, Products!E:E)</f>
        <v>211</v>
      </c>
      <c r="N813" s="6">
        <f t="shared" si="50"/>
        <v>211</v>
      </c>
      <c r="O813" s="8">
        <f t="shared" si="51"/>
        <v>-6719</v>
      </c>
      <c r="Q813" s="8"/>
      <c r="R813" s="8"/>
    </row>
    <row r="814" spans="1:18">
      <c r="A814" s="4">
        <v>100498</v>
      </c>
      <c r="B814" s="1">
        <v>45550</v>
      </c>
      <c r="C814" s="1">
        <v>45297</v>
      </c>
      <c r="D814" t="s">
        <v>214</v>
      </c>
      <c r="E814" t="s">
        <v>24</v>
      </c>
      <c r="F814">
        <v>1</v>
      </c>
      <c r="G814">
        <v>384</v>
      </c>
      <c r="H814">
        <v>0</v>
      </c>
      <c r="I814" t="s">
        <v>19</v>
      </c>
      <c r="J814" t="s">
        <v>13</v>
      </c>
      <c r="K814" s="6">
        <f t="shared" si="48"/>
        <v>384</v>
      </c>
      <c r="L814" s="6">
        <f t="shared" si="49"/>
        <v>384</v>
      </c>
      <c r="M814" s="6">
        <f>_xlfn.XLOOKUP(E814, Products!A:A, Products!E:E)</f>
        <v>105</v>
      </c>
      <c r="N814" s="6">
        <f t="shared" si="50"/>
        <v>105</v>
      </c>
      <c r="O814" s="8">
        <f t="shared" si="51"/>
        <v>279</v>
      </c>
      <c r="Q814" s="8"/>
      <c r="R814" s="8"/>
    </row>
    <row r="815" spans="1:18">
      <c r="A815" s="4">
        <v>100290</v>
      </c>
      <c r="B815" s="1">
        <v>45549</v>
      </c>
      <c r="C815" s="1">
        <v>45300</v>
      </c>
      <c r="D815" t="s">
        <v>30</v>
      </c>
      <c r="E815" t="s">
        <v>209</v>
      </c>
      <c r="F815">
        <v>1</v>
      </c>
      <c r="G815">
        <v>1616</v>
      </c>
      <c r="H815">
        <v>10</v>
      </c>
      <c r="I815" t="s">
        <v>19</v>
      </c>
      <c r="J815" t="s">
        <v>16</v>
      </c>
      <c r="K815" s="6">
        <f t="shared" si="48"/>
        <v>1616</v>
      </c>
      <c r="L815" s="6">
        <f t="shared" si="49"/>
        <v>-14544</v>
      </c>
      <c r="M815" s="6">
        <f>_xlfn.XLOOKUP(E815, Products!A:A, Products!E:E)</f>
        <v>53</v>
      </c>
      <c r="N815" s="6">
        <f t="shared" si="50"/>
        <v>53</v>
      </c>
      <c r="O815" s="8">
        <f t="shared" si="51"/>
        <v>-14597</v>
      </c>
      <c r="Q815" s="8"/>
      <c r="R815" s="8"/>
    </row>
    <row r="816" spans="1:18">
      <c r="A816" s="4">
        <v>100213</v>
      </c>
      <c r="B816" s="1">
        <v>45549</v>
      </c>
      <c r="C816" s="1">
        <v>45295</v>
      </c>
      <c r="D816" t="s">
        <v>253</v>
      </c>
      <c r="E816" t="s">
        <v>83</v>
      </c>
      <c r="F816">
        <v>1</v>
      </c>
      <c r="G816">
        <v>1249</v>
      </c>
      <c r="H816">
        <v>5</v>
      </c>
      <c r="I816" t="s">
        <v>32</v>
      </c>
      <c r="J816" t="s">
        <v>16</v>
      </c>
      <c r="K816" s="6">
        <f t="shared" si="48"/>
        <v>1249</v>
      </c>
      <c r="L816" s="6">
        <f t="shared" si="49"/>
        <v>-4996</v>
      </c>
      <c r="M816" s="6">
        <f>_xlfn.XLOOKUP(E816, Products!A:A, Products!E:E)</f>
        <v>243</v>
      </c>
      <c r="N816" s="6">
        <f t="shared" si="50"/>
        <v>243</v>
      </c>
      <c r="O816" s="8">
        <f t="shared" si="51"/>
        <v>-5239</v>
      </c>
      <c r="Q816" s="8"/>
      <c r="R816" s="8"/>
    </row>
    <row r="817" spans="1:18">
      <c r="A817" s="4">
        <v>100472</v>
      </c>
      <c r="B817" s="1">
        <v>45549</v>
      </c>
      <c r="C817" s="1">
        <v>45295</v>
      </c>
      <c r="D817" t="s">
        <v>335</v>
      </c>
      <c r="E817" t="s">
        <v>48</v>
      </c>
      <c r="F817">
        <v>1</v>
      </c>
      <c r="G817">
        <v>777</v>
      </c>
      <c r="H817">
        <v>0</v>
      </c>
      <c r="I817" t="s">
        <v>32</v>
      </c>
      <c r="J817" t="s">
        <v>26</v>
      </c>
      <c r="K817" s="6">
        <f t="shared" si="48"/>
        <v>777</v>
      </c>
      <c r="L817" s="6">
        <f t="shared" si="49"/>
        <v>777</v>
      </c>
      <c r="M817" s="6">
        <f>_xlfn.XLOOKUP(E817, Products!A:A, Products!E:E)</f>
        <v>179</v>
      </c>
      <c r="N817" s="6">
        <f t="shared" si="50"/>
        <v>179</v>
      </c>
      <c r="O817" s="8">
        <f t="shared" si="51"/>
        <v>598</v>
      </c>
      <c r="Q817" s="8"/>
      <c r="R817" s="8"/>
    </row>
    <row r="818" spans="1:18">
      <c r="A818" s="4">
        <v>100680</v>
      </c>
      <c r="B818" s="1">
        <v>45546</v>
      </c>
      <c r="C818" s="1">
        <v>45302</v>
      </c>
      <c r="D818" t="s">
        <v>160</v>
      </c>
      <c r="E818" t="s">
        <v>167</v>
      </c>
      <c r="F818">
        <v>1</v>
      </c>
      <c r="G818">
        <v>1900</v>
      </c>
      <c r="H818">
        <v>10</v>
      </c>
      <c r="I818" t="s">
        <v>19</v>
      </c>
      <c r="J818" t="s">
        <v>13</v>
      </c>
      <c r="K818" s="6">
        <f t="shared" si="48"/>
        <v>1900</v>
      </c>
      <c r="L818" s="6">
        <f t="shared" si="49"/>
        <v>-17100</v>
      </c>
      <c r="M818" s="6">
        <f>_xlfn.XLOOKUP(E818, Products!A:A, Products!E:E)</f>
        <v>181</v>
      </c>
      <c r="N818" s="6">
        <f t="shared" si="50"/>
        <v>181</v>
      </c>
      <c r="O818" s="8">
        <f t="shared" si="51"/>
        <v>-17281</v>
      </c>
      <c r="Q818" s="8"/>
      <c r="R818" s="8"/>
    </row>
    <row r="819" spans="1:18">
      <c r="A819" s="4">
        <v>100936</v>
      </c>
      <c r="B819" s="1">
        <v>45543</v>
      </c>
      <c r="C819" s="1">
        <v>45294</v>
      </c>
      <c r="D819" t="s">
        <v>86</v>
      </c>
      <c r="E819" t="s">
        <v>44</v>
      </c>
      <c r="F819">
        <v>1</v>
      </c>
      <c r="G819">
        <v>387</v>
      </c>
      <c r="H819">
        <v>0</v>
      </c>
      <c r="I819" t="s">
        <v>32</v>
      </c>
      <c r="J819" t="s">
        <v>26</v>
      </c>
      <c r="K819" s="6">
        <f t="shared" si="48"/>
        <v>387</v>
      </c>
      <c r="L819" s="6">
        <f t="shared" si="49"/>
        <v>387</v>
      </c>
      <c r="M819" s="6">
        <f>_xlfn.XLOOKUP(E819, Products!A:A, Products!E:E)</f>
        <v>204</v>
      </c>
      <c r="N819" s="6">
        <f t="shared" si="50"/>
        <v>204</v>
      </c>
      <c r="O819" s="8">
        <f t="shared" si="51"/>
        <v>183</v>
      </c>
      <c r="Q819" s="8"/>
      <c r="R819" s="8"/>
    </row>
    <row r="820" spans="1:18">
      <c r="A820" s="4">
        <v>100020</v>
      </c>
      <c r="B820" s="1">
        <v>45542</v>
      </c>
      <c r="C820" s="1">
        <v>45301</v>
      </c>
      <c r="D820" t="s">
        <v>30</v>
      </c>
      <c r="E820" t="s">
        <v>44</v>
      </c>
      <c r="F820">
        <v>1</v>
      </c>
      <c r="G820">
        <v>638</v>
      </c>
      <c r="H820">
        <v>0</v>
      </c>
      <c r="I820" t="s">
        <v>12</v>
      </c>
      <c r="J820" t="s">
        <v>26</v>
      </c>
      <c r="K820" s="6">
        <f t="shared" si="48"/>
        <v>638</v>
      </c>
      <c r="L820" s="6">
        <f t="shared" si="49"/>
        <v>638</v>
      </c>
      <c r="M820" s="6">
        <f>_xlfn.XLOOKUP(E820, Products!A:A, Products!E:E)</f>
        <v>204</v>
      </c>
      <c r="N820" s="6">
        <f t="shared" si="50"/>
        <v>204</v>
      </c>
      <c r="O820" s="8">
        <f t="shared" si="51"/>
        <v>434</v>
      </c>
      <c r="Q820" s="8"/>
      <c r="R820" s="8"/>
    </row>
    <row r="821" spans="1:18">
      <c r="A821" s="4">
        <v>100929</v>
      </c>
      <c r="B821" s="1">
        <v>45541</v>
      </c>
      <c r="C821" s="1">
        <v>45297</v>
      </c>
      <c r="D821" t="s">
        <v>371</v>
      </c>
      <c r="E821" t="s">
        <v>34</v>
      </c>
      <c r="F821">
        <v>1</v>
      </c>
      <c r="G821">
        <v>1057</v>
      </c>
      <c r="H821">
        <v>0</v>
      </c>
      <c r="I821" t="s">
        <v>29</v>
      </c>
      <c r="J821" t="s">
        <v>16</v>
      </c>
      <c r="K821" s="6">
        <f t="shared" si="48"/>
        <v>1057</v>
      </c>
      <c r="L821" s="6">
        <f t="shared" si="49"/>
        <v>1057</v>
      </c>
      <c r="M821" s="6">
        <f>_xlfn.XLOOKUP(E821, Products!A:A, Products!E:E)</f>
        <v>187</v>
      </c>
      <c r="N821" s="6">
        <f t="shared" si="50"/>
        <v>187</v>
      </c>
      <c r="O821" s="8">
        <f t="shared" si="51"/>
        <v>870</v>
      </c>
      <c r="Q821" s="8"/>
      <c r="R821" s="8"/>
    </row>
    <row r="822" spans="1:18">
      <c r="A822" s="4">
        <v>100029</v>
      </c>
      <c r="B822" s="1">
        <v>45537</v>
      </c>
      <c r="C822" s="1">
        <v>45297</v>
      </c>
      <c r="D822" t="s">
        <v>67</v>
      </c>
      <c r="E822" t="s">
        <v>68</v>
      </c>
      <c r="F822">
        <v>1</v>
      </c>
      <c r="G822">
        <v>1339</v>
      </c>
      <c r="H822">
        <v>5</v>
      </c>
      <c r="I822" t="s">
        <v>19</v>
      </c>
      <c r="J822" t="s">
        <v>26</v>
      </c>
      <c r="K822" s="6">
        <f t="shared" si="48"/>
        <v>1339</v>
      </c>
      <c r="L822" s="6">
        <f t="shared" si="49"/>
        <v>-5356</v>
      </c>
      <c r="M822" s="6">
        <f>_xlfn.XLOOKUP(E822, Products!A:A, Products!E:E)</f>
        <v>295</v>
      </c>
      <c r="N822" s="6">
        <f t="shared" si="50"/>
        <v>295</v>
      </c>
      <c r="O822" s="8">
        <f t="shared" si="51"/>
        <v>-5651</v>
      </c>
      <c r="Q822" s="8"/>
      <c r="R822" s="8"/>
    </row>
    <row r="823" spans="1:18">
      <c r="A823" s="4">
        <v>100670</v>
      </c>
      <c r="B823" s="1">
        <v>45536</v>
      </c>
      <c r="C823" s="1">
        <v>45298</v>
      </c>
      <c r="D823" t="s">
        <v>117</v>
      </c>
      <c r="E823" t="s">
        <v>201</v>
      </c>
      <c r="F823">
        <v>1</v>
      </c>
      <c r="G823">
        <v>1312</v>
      </c>
      <c r="H823">
        <v>10</v>
      </c>
      <c r="I823" t="s">
        <v>29</v>
      </c>
      <c r="J823" t="s">
        <v>22</v>
      </c>
      <c r="K823" s="6">
        <f t="shared" si="48"/>
        <v>1312</v>
      </c>
      <c r="L823" s="6">
        <f t="shared" si="49"/>
        <v>-11808</v>
      </c>
      <c r="M823" s="6">
        <f>_xlfn.XLOOKUP(E823, Products!A:A, Products!E:E)</f>
        <v>123</v>
      </c>
      <c r="N823" s="6">
        <f t="shared" si="50"/>
        <v>123</v>
      </c>
      <c r="O823" s="8">
        <f t="shared" si="51"/>
        <v>-11931</v>
      </c>
      <c r="Q823" s="8"/>
      <c r="R823" s="8"/>
    </row>
    <row r="824" spans="1:18">
      <c r="A824" s="4">
        <v>100175</v>
      </c>
      <c r="B824" s="1">
        <v>45534</v>
      </c>
      <c r="C824" s="1">
        <v>45298</v>
      </c>
      <c r="D824" t="s">
        <v>143</v>
      </c>
      <c r="E824" t="s">
        <v>132</v>
      </c>
      <c r="F824">
        <v>1</v>
      </c>
      <c r="G824">
        <v>548</v>
      </c>
      <c r="H824">
        <v>5</v>
      </c>
      <c r="I824" t="s">
        <v>12</v>
      </c>
      <c r="J824" t="s">
        <v>16</v>
      </c>
      <c r="K824" s="6">
        <f t="shared" si="48"/>
        <v>548</v>
      </c>
      <c r="L824" s="6">
        <f t="shared" si="49"/>
        <v>-2192</v>
      </c>
      <c r="M824" s="6">
        <f>_xlfn.XLOOKUP(E824, Products!A:A, Products!E:E)</f>
        <v>138</v>
      </c>
      <c r="N824" s="6">
        <f t="shared" si="50"/>
        <v>138</v>
      </c>
      <c r="O824" s="8">
        <f t="shared" si="51"/>
        <v>-2330</v>
      </c>
      <c r="Q824" s="8"/>
      <c r="R824" s="8"/>
    </row>
    <row r="825" spans="1:18">
      <c r="A825" s="4">
        <v>100816</v>
      </c>
      <c r="B825" s="1">
        <v>45533</v>
      </c>
      <c r="C825" s="1">
        <v>45299</v>
      </c>
      <c r="D825" t="s">
        <v>54</v>
      </c>
      <c r="E825" t="s">
        <v>101</v>
      </c>
      <c r="F825">
        <v>1</v>
      </c>
      <c r="G825">
        <v>783</v>
      </c>
      <c r="H825">
        <v>10</v>
      </c>
      <c r="I825" t="s">
        <v>32</v>
      </c>
      <c r="J825" t="s">
        <v>26</v>
      </c>
      <c r="K825" s="6">
        <f t="shared" si="48"/>
        <v>783</v>
      </c>
      <c r="L825" s="6">
        <f t="shared" si="49"/>
        <v>-7047</v>
      </c>
      <c r="M825" s="6">
        <f>_xlfn.XLOOKUP(E825, Products!A:A, Products!E:E)</f>
        <v>126</v>
      </c>
      <c r="N825" s="6">
        <f t="shared" si="50"/>
        <v>126</v>
      </c>
      <c r="O825" s="8">
        <f t="shared" si="51"/>
        <v>-7173</v>
      </c>
      <c r="Q825" s="8"/>
      <c r="R825" s="8"/>
    </row>
    <row r="826" spans="1:18">
      <c r="A826" s="4">
        <v>100077</v>
      </c>
      <c r="B826" s="1">
        <v>45533</v>
      </c>
      <c r="C826" s="1">
        <v>45302</v>
      </c>
      <c r="D826" t="s">
        <v>141</v>
      </c>
      <c r="E826" t="s">
        <v>142</v>
      </c>
      <c r="F826">
        <v>1</v>
      </c>
      <c r="G826">
        <v>397</v>
      </c>
      <c r="H826">
        <v>5</v>
      </c>
      <c r="I826" t="s">
        <v>12</v>
      </c>
      <c r="J826" t="s">
        <v>22</v>
      </c>
      <c r="K826" s="6">
        <f t="shared" si="48"/>
        <v>397</v>
      </c>
      <c r="L826" s="6">
        <f t="shared" si="49"/>
        <v>-1588</v>
      </c>
      <c r="M826" s="6">
        <f>_xlfn.XLOOKUP(E826, Products!A:A, Products!E:E)</f>
        <v>276</v>
      </c>
      <c r="N826" s="6">
        <f t="shared" si="50"/>
        <v>276</v>
      </c>
      <c r="O826" s="8">
        <f t="shared" si="51"/>
        <v>-1864</v>
      </c>
      <c r="Q826" s="8"/>
      <c r="R826" s="8"/>
    </row>
    <row r="827" spans="1:18">
      <c r="A827" s="4">
        <v>100995</v>
      </c>
      <c r="B827" s="1">
        <v>45532</v>
      </c>
      <c r="C827" s="1">
        <v>45302</v>
      </c>
      <c r="D827" t="s">
        <v>295</v>
      </c>
      <c r="E827" t="s">
        <v>28</v>
      </c>
      <c r="F827">
        <v>1</v>
      </c>
      <c r="G827">
        <v>751</v>
      </c>
      <c r="H827">
        <v>0</v>
      </c>
      <c r="I827" t="s">
        <v>19</v>
      </c>
      <c r="J827" t="s">
        <v>26</v>
      </c>
      <c r="K827" s="6">
        <f t="shared" si="48"/>
        <v>751</v>
      </c>
      <c r="L827" s="6">
        <f t="shared" si="49"/>
        <v>751</v>
      </c>
      <c r="M827" s="6">
        <f>_xlfn.XLOOKUP(E827, Products!A:A, Products!E:E)</f>
        <v>160</v>
      </c>
      <c r="N827" s="6">
        <f t="shared" si="50"/>
        <v>160</v>
      </c>
      <c r="O827" s="8">
        <f t="shared" si="51"/>
        <v>591</v>
      </c>
      <c r="Q827" s="8"/>
      <c r="R827" s="8"/>
    </row>
    <row r="828" spans="1:18">
      <c r="A828" s="4">
        <v>100597</v>
      </c>
      <c r="B828" s="1">
        <v>45531</v>
      </c>
      <c r="C828" s="1">
        <v>45302</v>
      </c>
      <c r="D828" t="s">
        <v>291</v>
      </c>
      <c r="E828" t="s">
        <v>170</v>
      </c>
      <c r="F828">
        <v>1</v>
      </c>
      <c r="G828">
        <v>751</v>
      </c>
      <c r="H828">
        <v>0</v>
      </c>
      <c r="I828" t="s">
        <v>32</v>
      </c>
      <c r="J828" t="s">
        <v>13</v>
      </c>
      <c r="K828" s="6">
        <f t="shared" si="48"/>
        <v>751</v>
      </c>
      <c r="L828" s="6">
        <f t="shared" si="49"/>
        <v>751</v>
      </c>
      <c r="M828" s="6">
        <f>_xlfn.XLOOKUP(E828, Products!A:A, Products!E:E)</f>
        <v>264</v>
      </c>
      <c r="N828" s="6">
        <f t="shared" si="50"/>
        <v>264</v>
      </c>
      <c r="O828" s="8">
        <f t="shared" si="51"/>
        <v>487</v>
      </c>
      <c r="Q828" s="8"/>
      <c r="R828" s="8"/>
    </row>
    <row r="829" spans="1:18">
      <c r="A829" s="4">
        <v>100277</v>
      </c>
      <c r="B829" s="1">
        <v>45531</v>
      </c>
      <c r="C829" s="1">
        <v>45302</v>
      </c>
      <c r="D829" t="s">
        <v>287</v>
      </c>
      <c r="E829" t="s">
        <v>170</v>
      </c>
      <c r="F829">
        <v>1</v>
      </c>
      <c r="G829">
        <v>743</v>
      </c>
      <c r="H829">
        <v>0</v>
      </c>
      <c r="I829" t="s">
        <v>19</v>
      </c>
      <c r="J829" t="s">
        <v>26</v>
      </c>
      <c r="K829" s="6">
        <f t="shared" si="48"/>
        <v>743</v>
      </c>
      <c r="L829" s="6">
        <f t="shared" si="49"/>
        <v>743</v>
      </c>
      <c r="M829" s="6">
        <f>_xlfn.XLOOKUP(E829, Products!A:A, Products!E:E)</f>
        <v>264</v>
      </c>
      <c r="N829" s="6">
        <f t="shared" si="50"/>
        <v>264</v>
      </c>
      <c r="O829" s="8">
        <f t="shared" si="51"/>
        <v>479</v>
      </c>
      <c r="Q829" s="8"/>
      <c r="R829" s="8"/>
    </row>
    <row r="830" spans="1:18">
      <c r="A830" s="4">
        <v>100415</v>
      </c>
      <c r="B830" s="1">
        <v>45525</v>
      </c>
      <c r="C830" s="1">
        <v>45300</v>
      </c>
      <c r="D830" t="s">
        <v>341</v>
      </c>
      <c r="E830" t="s">
        <v>139</v>
      </c>
      <c r="F830">
        <v>1</v>
      </c>
      <c r="G830">
        <v>1602</v>
      </c>
      <c r="H830">
        <v>5</v>
      </c>
      <c r="I830" t="s">
        <v>19</v>
      </c>
      <c r="J830" t="s">
        <v>16</v>
      </c>
      <c r="K830" s="6">
        <f t="shared" si="48"/>
        <v>1602</v>
      </c>
      <c r="L830" s="6">
        <f t="shared" si="49"/>
        <v>-6408</v>
      </c>
      <c r="M830" s="6">
        <f>_xlfn.XLOOKUP(E830, Products!A:A, Products!E:E)</f>
        <v>280</v>
      </c>
      <c r="N830" s="6">
        <f t="shared" si="50"/>
        <v>280</v>
      </c>
      <c r="O830" s="8">
        <f t="shared" si="51"/>
        <v>-6688</v>
      </c>
      <c r="Q830" s="8"/>
      <c r="R830" s="8"/>
    </row>
    <row r="831" spans="1:18">
      <c r="A831" s="4">
        <v>100997</v>
      </c>
      <c r="B831" s="1">
        <v>45524</v>
      </c>
      <c r="C831" s="1">
        <v>45295</v>
      </c>
      <c r="D831" t="s">
        <v>17</v>
      </c>
      <c r="E831" t="s">
        <v>164</v>
      </c>
      <c r="F831">
        <v>1</v>
      </c>
      <c r="G831">
        <v>1273</v>
      </c>
      <c r="H831">
        <v>5</v>
      </c>
      <c r="I831" t="s">
        <v>12</v>
      </c>
      <c r="J831" t="s">
        <v>16</v>
      </c>
      <c r="K831" s="6">
        <f t="shared" si="48"/>
        <v>1273</v>
      </c>
      <c r="L831" s="6">
        <f t="shared" si="49"/>
        <v>-5092</v>
      </c>
      <c r="M831" s="6">
        <f>_xlfn.XLOOKUP(E831, Products!A:A, Products!E:E)</f>
        <v>156</v>
      </c>
      <c r="N831" s="6">
        <f t="shared" si="50"/>
        <v>156</v>
      </c>
      <c r="O831" s="8">
        <f t="shared" si="51"/>
        <v>-5248</v>
      </c>
      <c r="Q831" s="8"/>
      <c r="R831" s="8"/>
    </row>
    <row r="832" spans="1:18">
      <c r="A832" s="4">
        <v>100093</v>
      </c>
      <c r="B832" s="1">
        <v>45524</v>
      </c>
      <c r="C832" s="1">
        <v>45295</v>
      </c>
      <c r="D832" t="s">
        <v>157</v>
      </c>
      <c r="E832" t="s">
        <v>158</v>
      </c>
      <c r="F832">
        <v>1</v>
      </c>
      <c r="G832">
        <v>1499</v>
      </c>
      <c r="H832">
        <v>10</v>
      </c>
      <c r="I832" t="s">
        <v>12</v>
      </c>
      <c r="J832" t="s">
        <v>16</v>
      </c>
      <c r="K832" s="6">
        <f t="shared" si="48"/>
        <v>1499</v>
      </c>
      <c r="L832" s="6">
        <f t="shared" si="49"/>
        <v>-13491</v>
      </c>
      <c r="M832" s="6">
        <f>_xlfn.XLOOKUP(E832, Products!A:A, Products!E:E)</f>
        <v>281</v>
      </c>
      <c r="N832" s="6">
        <f t="shared" si="50"/>
        <v>281</v>
      </c>
      <c r="O832" s="8">
        <f t="shared" si="51"/>
        <v>-13772</v>
      </c>
      <c r="Q832" s="8"/>
      <c r="R832" s="8"/>
    </row>
    <row r="833" spans="1:18">
      <c r="A833" s="4">
        <v>100167</v>
      </c>
      <c r="B833" s="1">
        <v>45523</v>
      </c>
      <c r="C833" s="1">
        <v>45296</v>
      </c>
      <c r="D833" t="s">
        <v>100</v>
      </c>
      <c r="E833" t="s">
        <v>178</v>
      </c>
      <c r="F833">
        <v>1</v>
      </c>
      <c r="G833">
        <v>1085</v>
      </c>
      <c r="H833">
        <v>0</v>
      </c>
      <c r="I833" t="s">
        <v>32</v>
      </c>
      <c r="J833" t="s">
        <v>26</v>
      </c>
      <c r="K833" s="6">
        <f t="shared" si="48"/>
        <v>1085</v>
      </c>
      <c r="L833" s="6">
        <f t="shared" si="49"/>
        <v>1085</v>
      </c>
      <c r="M833" s="6">
        <f>_xlfn.XLOOKUP(E833, Products!A:A, Products!E:E)</f>
        <v>121</v>
      </c>
      <c r="N833" s="6">
        <f t="shared" si="50"/>
        <v>121</v>
      </c>
      <c r="O833" s="8">
        <f t="shared" si="51"/>
        <v>964</v>
      </c>
      <c r="Q833" s="8"/>
      <c r="R833" s="8"/>
    </row>
    <row r="834" spans="1:18">
      <c r="A834" s="4">
        <v>100452</v>
      </c>
      <c r="B834" s="1">
        <v>45522</v>
      </c>
      <c r="C834" s="1">
        <v>45294</v>
      </c>
      <c r="D834" t="s">
        <v>306</v>
      </c>
      <c r="E834" t="s">
        <v>28</v>
      </c>
      <c r="F834">
        <v>1</v>
      </c>
      <c r="G834">
        <v>950</v>
      </c>
      <c r="H834">
        <v>10</v>
      </c>
      <c r="I834" t="s">
        <v>29</v>
      </c>
      <c r="J834" t="s">
        <v>16</v>
      </c>
      <c r="K834" s="6">
        <f t="shared" ref="K834:K897" si="52">F834*G834</f>
        <v>950</v>
      </c>
      <c r="L834" s="6">
        <f t="shared" si="49"/>
        <v>-8550</v>
      </c>
      <c r="M834" s="6">
        <f>_xlfn.XLOOKUP(E834, Products!A:A, Products!E:E)</f>
        <v>160</v>
      </c>
      <c r="N834" s="6">
        <f t="shared" si="50"/>
        <v>160</v>
      </c>
      <c r="O834" s="8">
        <f t="shared" si="51"/>
        <v>-8710</v>
      </c>
      <c r="Q834" s="8"/>
      <c r="R834" s="8"/>
    </row>
    <row r="835" spans="1:18">
      <c r="A835" s="4">
        <v>100219</v>
      </c>
      <c r="B835" s="1">
        <v>45521</v>
      </c>
      <c r="C835" s="1">
        <v>45296</v>
      </c>
      <c r="D835" t="s">
        <v>232</v>
      </c>
      <c r="E835" t="s">
        <v>39</v>
      </c>
      <c r="F835">
        <v>1</v>
      </c>
      <c r="G835">
        <v>1705</v>
      </c>
      <c r="H835">
        <v>5</v>
      </c>
      <c r="I835" t="s">
        <v>32</v>
      </c>
      <c r="J835" t="s">
        <v>22</v>
      </c>
      <c r="K835" s="6">
        <f t="shared" si="52"/>
        <v>1705</v>
      </c>
      <c r="L835" s="6">
        <f t="shared" ref="L835:L898" si="53">F835*G835*(1-H835)</f>
        <v>-6820</v>
      </c>
      <c r="M835" s="6">
        <f>_xlfn.XLOOKUP(E835, Products!A:A, Products!E:E)</f>
        <v>238</v>
      </c>
      <c r="N835" s="6">
        <f t="shared" ref="N835:N898" si="54">F835*M835</f>
        <v>238</v>
      </c>
      <c r="O835" s="8">
        <f t="shared" ref="O835:O898" si="55">L835-N835</f>
        <v>-7058</v>
      </c>
      <c r="Q835" s="8"/>
      <c r="R835" s="8"/>
    </row>
    <row r="836" spans="1:18">
      <c r="A836" s="4">
        <v>100464</v>
      </c>
      <c r="B836" s="1">
        <v>45519</v>
      </c>
      <c r="C836" s="1">
        <v>45298</v>
      </c>
      <c r="D836" t="s">
        <v>220</v>
      </c>
      <c r="E836" t="s">
        <v>126</v>
      </c>
      <c r="F836">
        <v>1</v>
      </c>
      <c r="G836">
        <v>1243</v>
      </c>
      <c r="H836">
        <v>15</v>
      </c>
      <c r="I836" t="s">
        <v>29</v>
      </c>
      <c r="J836" t="s">
        <v>13</v>
      </c>
      <c r="K836" s="6">
        <f t="shared" si="52"/>
        <v>1243</v>
      </c>
      <c r="L836" s="6">
        <f t="shared" si="53"/>
        <v>-17402</v>
      </c>
      <c r="M836" s="6">
        <f>_xlfn.XLOOKUP(E836, Products!A:A, Products!E:E)</f>
        <v>177</v>
      </c>
      <c r="N836" s="6">
        <f t="shared" si="54"/>
        <v>177</v>
      </c>
      <c r="O836" s="8">
        <f t="shared" si="55"/>
        <v>-17579</v>
      </c>
      <c r="Q836" s="8"/>
      <c r="R836" s="8"/>
    </row>
    <row r="837" spans="1:18">
      <c r="A837" s="4">
        <v>100844</v>
      </c>
      <c r="B837" s="1">
        <v>45518</v>
      </c>
      <c r="C837" s="1">
        <v>45298</v>
      </c>
      <c r="D837" t="s">
        <v>140</v>
      </c>
      <c r="E837" t="s">
        <v>28</v>
      </c>
      <c r="F837">
        <v>1</v>
      </c>
      <c r="G837">
        <v>511</v>
      </c>
      <c r="H837">
        <v>0</v>
      </c>
      <c r="I837" t="s">
        <v>32</v>
      </c>
      <c r="J837" t="s">
        <v>16</v>
      </c>
      <c r="K837" s="6">
        <f t="shared" si="52"/>
        <v>511</v>
      </c>
      <c r="L837" s="6">
        <f t="shared" si="53"/>
        <v>511</v>
      </c>
      <c r="M837" s="6">
        <f>_xlfn.XLOOKUP(E837, Products!A:A, Products!E:E)</f>
        <v>160</v>
      </c>
      <c r="N837" s="6">
        <f t="shared" si="54"/>
        <v>160</v>
      </c>
      <c r="O837" s="8">
        <f t="shared" si="55"/>
        <v>351</v>
      </c>
      <c r="Q837" s="8"/>
      <c r="R837" s="8"/>
    </row>
    <row r="838" spans="1:18">
      <c r="A838" s="4">
        <v>100626</v>
      </c>
      <c r="B838" s="1">
        <v>45514</v>
      </c>
      <c r="C838" s="1">
        <v>45298</v>
      </c>
      <c r="D838" t="s">
        <v>341</v>
      </c>
      <c r="E838" t="s">
        <v>176</v>
      </c>
      <c r="F838">
        <v>1</v>
      </c>
      <c r="G838">
        <v>348</v>
      </c>
      <c r="H838">
        <v>15</v>
      </c>
      <c r="I838" t="s">
        <v>19</v>
      </c>
      <c r="J838" t="s">
        <v>13</v>
      </c>
      <c r="K838" s="6">
        <f t="shared" si="52"/>
        <v>348</v>
      </c>
      <c r="L838" s="6">
        <f t="shared" si="53"/>
        <v>-4872</v>
      </c>
      <c r="M838" s="6">
        <f>_xlfn.XLOOKUP(E838, Products!A:A, Products!E:E)</f>
        <v>61</v>
      </c>
      <c r="N838" s="6">
        <f t="shared" si="54"/>
        <v>61</v>
      </c>
      <c r="O838" s="8">
        <f t="shared" si="55"/>
        <v>-4933</v>
      </c>
      <c r="Q838" s="8"/>
      <c r="R838" s="8"/>
    </row>
    <row r="839" spans="1:18">
      <c r="A839" s="4">
        <v>100264</v>
      </c>
      <c r="B839" s="1">
        <v>45513</v>
      </c>
      <c r="C839" s="1">
        <v>45298</v>
      </c>
      <c r="D839" t="s">
        <v>278</v>
      </c>
      <c r="E839" t="s">
        <v>180</v>
      </c>
      <c r="F839">
        <v>1</v>
      </c>
      <c r="G839">
        <v>1258</v>
      </c>
      <c r="H839">
        <v>5</v>
      </c>
      <c r="I839" t="s">
        <v>12</v>
      </c>
      <c r="J839" t="s">
        <v>22</v>
      </c>
      <c r="K839" s="6">
        <f t="shared" si="52"/>
        <v>1258</v>
      </c>
      <c r="L839" s="6">
        <f t="shared" si="53"/>
        <v>-5032</v>
      </c>
      <c r="M839" s="6">
        <f>_xlfn.XLOOKUP(E839, Products!A:A, Products!E:E)</f>
        <v>81</v>
      </c>
      <c r="N839" s="6">
        <f t="shared" si="54"/>
        <v>81</v>
      </c>
      <c r="O839" s="8">
        <f t="shared" si="55"/>
        <v>-5113</v>
      </c>
      <c r="Q839" s="8"/>
      <c r="R839" s="8"/>
    </row>
    <row r="840" spans="1:18">
      <c r="A840" s="4">
        <v>100185</v>
      </c>
      <c r="B840" s="1">
        <v>45513</v>
      </c>
      <c r="C840" s="1">
        <v>45300</v>
      </c>
      <c r="D840" t="s">
        <v>235</v>
      </c>
      <c r="E840" t="s">
        <v>139</v>
      </c>
      <c r="F840">
        <v>1</v>
      </c>
      <c r="G840">
        <v>1579</v>
      </c>
      <c r="H840">
        <v>10</v>
      </c>
      <c r="I840" t="s">
        <v>32</v>
      </c>
      <c r="J840" t="s">
        <v>22</v>
      </c>
      <c r="K840" s="6">
        <f t="shared" si="52"/>
        <v>1579</v>
      </c>
      <c r="L840" s="6">
        <f t="shared" si="53"/>
        <v>-14211</v>
      </c>
      <c r="M840" s="6">
        <f>_xlfn.XLOOKUP(E840, Products!A:A, Products!E:E)</f>
        <v>280</v>
      </c>
      <c r="N840" s="6">
        <f t="shared" si="54"/>
        <v>280</v>
      </c>
      <c r="O840" s="8">
        <f t="shared" si="55"/>
        <v>-14491</v>
      </c>
      <c r="Q840" s="8"/>
      <c r="R840" s="8"/>
    </row>
    <row r="841" spans="1:18">
      <c r="A841" s="4">
        <v>100513</v>
      </c>
      <c r="B841" s="1">
        <v>45510</v>
      </c>
      <c r="C841" s="1">
        <v>45298</v>
      </c>
      <c r="D841" t="s">
        <v>225</v>
      </c>
      <c r="E841" t="s">
        <v>238</v>
      </c>
      <c r="F841">
        <v>1</v>
      </c>
      <c r="G841">
        <v>1370</v>
      </c>
      <c r="H841">
        <v>0</v>
      </c>
      <c r="I841" t="s">
        <v>12</v>
      </c>
      <c r="J841" t="s">
        <v>13</v>
      </c>
      <c r="K841" s="6">
        <f t="shared" si="52"/>
        <v>1370</v>
      </c>
      <c r="L841" s="6">
        <f t="shared" si="53"/>
        <v>1370</v>
      </c>
      <c r="M841" s="6">
        <f>_xlfn.XLOOKUP(E841, Products!A:A, Products!E:E)</f>
        <v>265</v>
      </c>
      <c r="N841" s="6">
        <f t="shared" si="54"/>
        <v>265</v>
      </c>
      <c r="O841" s="8">
        <f t="shared" si="55"/>
        <v>1105</v>
      </c>
      <c r="Q841" s="8"/>
      <c r="R841" s="8"/>
    </row>
    <row r="842" spans="1:18">
      <c r="A842" s="4">
        <v>100479</v>
      </c>
      <c r="B842" s="1">
        <v>45510</v>
      </c>
      <c r="C842" s="1">
        <v>45295</v>
      </c>
      <c r="D842" t="s">
        <v>357</v>
      </c>
      <c r="E842" t="s">
        <v>144</v>
      </c>
      <c r="F842">
        <v>1</v>
      </c>
      <c r="G842">
        <v>1462</v>
      </c>
      <c r="H842">
        <v>0</v>
      </c>
      <c r="I842" t="s">
        <v>32</v>
      </c>
      <c r="J842" t="s">
        <v>13</v>
      </c>
      <c r="K842" s="6">
        <f t="shared" si="52"/>
        <v>1462</v>
      </c>
      <c r="L842" s="6">
        <f t="shared" si="53"/>
        <v>1462</v>
      </c>
      <c r="M842" s="6">
        <f>_xlfn.XLOOKUP(E842, Products!A:A, Products!E:E)</f>
        <v>247</v>
      </c>
      <c r="N842" s="6">
        <f t="shared" si="54"/>
        <v>247</v>
      </c>
      <c r="O842" s="8">
        <f t="shared" si="55"/>
        <v>1215</v>
      </c>
      <c r="Q842" s="8"/>
      <c r="R842" s="8"/>
    </row>
    <row r="843" spans="1:18">
      <c r="A843" s="4">
        <v>100333</v>
      </c>
      <c r="B843" s="1">
        <v>45509</v>
      </c>
      <c r="C843" s="1">
        <v>45298</v>
      </c>
      <c r="D843" t="s">
        <v>276</v>
      </c>
      <c r="E843" t="s">
        <v>197</v>
      </c>
      <c r="F843">
        <v>1</v>
      </c>
      <c r="G843">
        <v>1860</v>
      </c>
      <c r="H843">
        <v>0</v>
      </c>
      <c r="I843" t="s">
        <v>29</v>
      </c>
      <c r="J843" t="s">
        <v>16</v>
      </c>
      <c r="K843" s="6">
        <f t="shared" si="52"/>
        <v>1860</v>
      </c>
      <c r="L843" s="6">
        <f t="shared" si="53"/>
        <v>1860</v>
      </c>
      <c r="M843" s="6">
        <f>_xlfn.XLOOKUP(E843, Products!A:A, Products!E:E)</f>
        <v>236</v>
      </c>
      <c r="N843" s="6">
        <f t="shared" si="54"/>
        <v>236</v>
      </c>
      <c r="O843" s="8">
        <f t="shared" si="55"/>
        <v>1624</v>
      </c>
      <c r="Q843" s="8"/>
      <c r="R843" s="8"/>
    </row>
    <row r="844" spans="1:18">
      <c r="A844" s="4">
        <v>100717</v>
      </c>
      <c r="B844" s="1">
        <v>45508</v>
      </c>
      <c r="C844" s="1">
        <v>45302</v>
      </c>
      <c r="D844" t="s">
        <v>293</v>
      </c>
      <c r="E844" t="s">
        <v>65</v>
      </c>
      <c r="F844">
        <v>1</v>
      </c>
      <c r="G844">
        <v>1006</v>
      </c>
      <c r="H844">
        <v>15</v>
      </c>
      <c r="I844" t="s">
        <v>12</v>
      </c>
      <c r="J844" t="s">
        <v>13</v>
      </c>
      <c r="K844" s="6">
        <f t="shared" si="52"/>
        <v>1006</v>
      </c>
      <c r="L844" s="6">
        <f t="shared" si="53"/>
        <v>-14084</v>
      </c>
      <c r="M844" s="6">
        <f>_xlfn.XLOOKUP(E844, Products!A:A, Products!E:E)</f>
        <v>213</v>
      </c>
      <c r="N844" s="6">
        <f t="shared" si="54"/>
        <v>213</v>
      </c>
      <c r="O844" s="8">
        <f t="shared" si="55"/>
        <v>-14297</v>
      </c>
      <c r="Q844" s="8"/>
      <c r="R844" s="8"/>
    </row>
    <row r="845" spans="1:18">
      <c r="A845" s="4">
        <v>100354</v>
      </c>
      <c r="B845" s="1">
        <v>45508</v>
      </c>
      <c r="C845" s="1">
        <v>45298</v>
      </c>
      <c r="D845" t="s">
        <v>320</v>
      </c>
      <c r="E845" t="s">
        <v>126</v>
      </c>
      <c r="F845">
        <v>1</v>
      </c>
      <c r="G845">
        <v>209</v>
      </c>
      <c r="H845">
        <v>10</v>
      </c>
      <c r="I845" t="s">
        <v>29</v>
      </c>
      <c r="J845" t="s">
        <v>22</v>
      </c>
      <c r="K845" s="6">
        <f t="shared" si="52"/>
        <v>209</v>
      </c>
      <c r="L845" s="6">
        <f t="shared" si="53"/>
        <v>-1881</v>
      </c>
      <c r="M845" s="6">
        <f>_xlfn.XLOOKUP(E845, Products!A:A, Products!E:E)</f>
        <v>177</v>
      </c>
      <c r="N845" s="6">
        <f t="shared" si="54"/>
        <v>177</v>
      </c>
      <c r="O845" s="8">
        <f t="shared" si="55"/>
        <v>-2058</v>
      </c>
      <c r="Q845" s="8"/>
      <c r="R845" s="8"/>
    </row>
    <row r="846" spans="1:18">
      <c r="A846" s="4">
        <v>100846</v>
      </c>
      <c r="B846" s="1">
        <v>45507</v>
      </c>
      <c r="C846" s="1">
        <v>45295</v>
      </c>
      <c r="D846" t="s">
        <v>231</v>
      </c>
      <c r="E846" t="s">
        <v>137</v>
      </c>
      <c r="F846">
        <v>1</v>
      </c>
      <c r="G846">
        <v>906</v>
      </c>
      <c r="H846">
        <v>15</v>
      </c>
      <c r="I846" t="s">
        <v>19</v>
      </c>
      <c r="J846" t="s">
        <v>16</v>
      </c>
      <c r="K846" s="6">
        <f t="shared" si="52"/>
        <v>906</v>
      </c>
      <c r="L846" s="6">
        <f t="shared" si="53"/>
        <v>-12684</v>
      </c>
      <c r="M846" s="6">
        <f>_xlfn.XLOOKUP(E846, Products!A:A, Products!E:E)</f>
        <v>239</v>
      </c>
      <c r="N846" s="6">
        <f t="shared" si="54"/>
        <v>239</v>
      </c>
      <c r="O846" s="8">
        <f t="shared" si="55"/>
        <v>-12923</v>
      </c>
      <c r="Q846" s="8"/>
      <c r="R846" s="8"/>
    </row>
    <row r="847" spans="1:18">
      <c r="A847" s="4">
        <v>100598</v>
      </c>
      <c r="B847" s="1">
        <v>45506</v>
      </c>
      <c r="C847" s="1">
        <v>45299</v>
      </c>
      <c r="D847" t="s">
        <v>317</v>
      </c>
      <c r="E847" t="s">
        <v>50</v>
      </c>
      <c r="F847">
        <v>1</v>
      </c>
      <c r="G847">
        <v>920</v>
      </c>
      <c r="H847">
        <v>5</v>
      </c>
      <c r="I847" t="s">
        <v>32</v>
      </c>
      <c r="J847" t="s">
        <v>16</v>
      </c>
      <c r="K847" s="6">
        <f t="shared" si="52"/>
        <v>920</v>
      </c>
      <c r="L847" s="6">
        <f t="shared" si="53"/>
        <v>-3680</v>
      </c>
      <c r="M847" s="6">
        <f>_xlfn.XLOOKUP(E847, Products!A:A, Products!E:E)</f>
        <v>218</v>
      </c>
      <c r="N847" s="6">
        <f t="shared" si="54"/>
        <v>218</v>
      </c>
      <c r="O847" s="8">
        <f t="shared" si="55"/>
        <v>-3898</v>
      </c>
      <c r="Q847" s="8"/>
      <c r="R847" s="8"/>
    </row>
    <row r="848" spans="1:18">
      <c r="A848" s="4">
        <v>100623</v>
      </c>
      <c r="B848" s="1">
        <v>45506</v>
      </c>
      <c r="C848" s="1">
        <v>45296</v>
      </c>
      <c r="D848" t="s">
        <v>347</v>
      </c>
      <c r="E848" t="s">
        <v>85</v>
      </c>
      <c r="F848">
        <v>1</v>
      </c>
      <c r="G848">
        <v>1990</v>
      </c>
      <c r="H848">
        <v>15</v>
      </c>
      <c r="I848" t="s">
        <v>29</v>
      </c>
      <c r="J848" t="s">
        <v>22</v>
      </c>
      <c r="K848" s="6">
        <f t="shared" si="52"/>
        <v>1990</v>
      </c>
      <c r="L848" s="6">
        <f t="shared" si="53"/>
        <v>-27860</v>
      </c>
      <c r="M848" s="6">
        <f>_xlfn.XLOOKUP(E848, Products!A:A, Products!E:E)</f>
        <v>148</v>
      </c>
      <c r="N848" s="6">
        <f t="shared" si="54"/>
        <v>148</v>
      </c>
      <c r="O848" s="8">
        <f t="shared" si="55"/>
        <v>-28008</v>
      </c>
      <c r="Q848" s="8"/>
      <c r="R848" s="8"/>
    </row>
    <row r="849" spans="1:18">
      <c r="A849" s="4">
        <v>100398</v>
      </c>
      <c r="B849" s="1">
        <v>45500</v>
      </c>
      <c r="C849" s="1">
        <v>45300</v>
      </c>
      <c r="D849" t="s">
        <v>35</v>
      </c>
      <c r="E849" t="s">
        <v>180</v>
      </c>
      <c r="F849">
        <v>1</v>
      </c>
      <c r="G849">
        <v>1832</v>
      </c>
      <c r="H849">
        <v>15</v>
      </c>
      <c r="I849" t="s">
        <v>19</v>
      </c>
      <c r="J849" t="s">
        <v>22</v>
      </c>
      <c r="K849" s="6">
        <f t="shared" si="52"/>
        <v>1832</v>
      </c>
      <c r="L849" s="6">
        <f t="shared" si="53"/>
        <v>-25648</v>
      </c>
      <c r="M849" s="6">
        <f>_xlfn.XLOOKUP(E849, Products!A:A, Products!E:E)</f>
        <v>81</v>
      </c>
      <c r="N849" s="6">
        <f t="shared" si="54"/>
        <v>81</v>
      </c>
      <c r="O849" s="8">
        <f t="shared" si="55"/>
        <v>-25729</v>
      </c>
      <c r="Q849" s="8"/>
      <c r="R849" s="8"/>
    </row>
    <row r="850" spans="1:18">
      <c r="A850" s="4">
        <v>100223</v>
      </c>
      <c r="B850" s="1">
        <v>45499</v>
      </c>
      <c r="C850" s="1">
        <v>45297</v>
      </c>
      <c r="D850" t="s">
        <v>105</v>
      </c>
      <c r="E850" t="s">
        <v>15</v>
      </c>
      <c r="F850">
        <v>1</v>
      </c>
      <c r="G850">
        <v>788</v>
      </c>
      <c r="H850">
        <v>10</v>
      </c>
      <c r="I850" t="s">
        <v>29</v>
      </c>
      <c r="J850" t="s">
        <v>22</v>
      </c>
      <c r="K850" s="6">
        <f t="shared" si="52"/>
        <v>788</v>
      </c>
      <c r="L850" s="6">
        <f t="shared" si="53"/>
        <v>-7092</v>
      </c>
      <c r="M850" s="6">
        <f>_xlfn.XLOOKUP(E850, Products!A:A, Products!E:E)</f>
        <v>242</v>
      </c>
      <c r="N850" s="6">
        <f t="shared" si="54"/>
        <v>242</v>
      </c>
      <c r="O850" s="8">
        <f t="shared" si="55"/>
        <v>-7334</v>
      </c>
      <c r="Q850" s="8"/>
      <c r="R850" s="8"/>
    </row>
    <row r="851" spans="1:18">
      <c r="A851" s="4">
        <v>100271</v>
      </c>
      <c r="B851" s="1">
        <v>45497</v>
      </c>
      <c r="C851" s="1">
        <v>45298</v>
      </c>
      <c r="D851" t="s">
        <v>284</v>
      </c>
      <c r="E851" t="s">
        <v>56</v>
      </c>
      <c r="F851">
        <v>1</v>
      </c>
      <c r="G851">
        <v>1814</v>
      </c>
      <c r="H851">
        <v>0</v>
      </c>
      <c r="I851" t="s">
        <v>12</v>
      </c>
      <c r="J851" t="s">
        <v>16</v>
      </c>
      <c r="K851" s="6">
        <f t="shared" si="52"/>
        <v>1814</v>
      </c>
      <c r="L851" s="6">
        <f t="shared" si="53"/>
        <v>1814</v>
      </c>
      <c r="M851" s="6">
        <f>_xlfn.XLOOKUP(E851, Products!A:A, Products!E:E)</f>
        <v>212</v>
      </c>
      <c r="N851" s="6">
        <f t="shared" si="54"/>
        <v>212</v>
      </c>
      <c r="O851" s="8">
        <f t="shared" si="55"/>
        <v>1602</v>
      </c>
      <c r="Q851" s="8"/>
      <c r="R851" s="8"/>
    </row>
    <row r="852" spans="1:18">
      <c r="A852" s="4">
        <v>100320</v>
      </c>
      <c r="B852" s="1">
        <v>45492</v>
      </c>
      <c r="C852" s="1">
        <v>45297</v>
      </c>
      <c r="D852" t="s">
        <v>36</v>
      </c>
      <c r="E852" t="s">
        <v>93</v>
      </c>
      <c r="F852">
        <v>1</v>
      </c>
      <c r="G852">
        <v>590</v>
      </c>
      <c r="H852">
        <v>15</v>
      </c>
      <c r="I852" t="s">
        <v>29</v>
      </c>
      <c r="J852" t="s">
        <v>22</v>
      </c>
      <c r="K852" s="6">
        <f t="shared" si="52"/>
        <v>590</v>
      </c>
      <c r="L852" s="6">
        <f t="shared" si="53"/>
        <v>-8260</v>
      </c>
      <c r="M852" s="6">
        <f>_xlfn.XLOOKUP(E852, Products!A:A, Products!E:E)</f>
        <v>222</v>
      </c>
      <c r="N852" s="6">
        <f t="shared" si="54"/>
        <v>222</v>
      </c>
      <c r="O852" s="8">
        <f t="shared" si="55"/>
        <v>-8482</v>
      </c>
      <c r="Q852" s="8"/>
      <c r="R852" s="8"/>
    </row>
    <row r="853" spans="1:18">
      <c r="A853" s="4">
        <v>100982</v>
      </c>
      <c r="B853" s="1">
        <v>45488</v>
      </c>
      <c r="C853" s="1">
        <v>45294</v>
      </c>
      <c r="D853" t="s">
        <v>317</v>
      </c>
      <c r="E853" t="s">
        <v>103</v>
      </c>
      <c r="F853">
        <v>1</v>
      </c>
      <c r="G853">
        <v>1690</v>
      </c>
      <c r="H853">
        <v>10</v>
      </c>
      <c r="I853" t="s">
        <v>19</v>
      </c>
      <c r="J853" t="s">
        <v>22</v>
      </c>
      <c r="K853" s="6">
        <f t="shared" si="52"/>
        <v>1690</v>
      </c>
      <c r="L853" s="6">
        <f t="shared" si="53"/>
        <v>-15210</v>
      </c>
      <c r="M853" s="6">
        <f>_xlfn.XLOOKUP(E853, Products!A:A, Products!E:E)</f>
        <v>185</v>
      </c>
      <c r="N853" s="6">
        <f t="shared" si="54"/>
        <v>185</v>
      </c>
      <c r="O853" s="8">
        <f t="shared" si="55"/>
        <v>-15395</v>
      </c>
      <c r="Q853" s="8"/>
      <c r="R853" s="8"/>
    </row>
    <row r="854" spans="1:18">
      <c r="A854" s="4">
        <v>100687</v>
      </c>
      <c r="B854" s="1">
        <v>45487</v>
      </c>
      <c r="C854" s="1">
        <v>45297</v>
      </c>
      <c r="D854" t="s">
        <v>14</v>
      </c>
      <c r="E854" t="s">
        <v>152</v>
      </c>
      <c r="F854">
        <v>1</v>
      </c>
      <c r="G854">
        <v>784</v>
      </c>
      <c r="H854">
        <v>0</v>
      </c>
      <c r="I854" t="s">
        <v>29</v>
      </c>
      <c r="J854" t="s">
        <v>16</v>
      </c>
      <c r="K854" s="6">
        <f t="shared" si="52"/>
        <v>784</v>
      </c>
      <c r="L854" s="6">
        <f t="shared" si="53"/>
        <v>784</v>
      </c>
      <c r="M854" s="6">
        <f>_xlfn.XLOOKUP(E854, Products!A:A, Products!E:E)</f>
        <v>272</v>
      </c>
      <c r="N854" s="6">
        <f t="shared" si="54"/>
        <v>272</v>
      </c>
      <c r="O854" s="8">
        <f t="shared" si="55"/>
        <v>512</v>
      </c>
      <c r="Q854" s="8"/>
      <c r="R854" s="8"/>
    </row>
    <row r="855" spans="1:18">
      <c r="A855" s="4">
        <v>100758</v>
      </c>
      <c r="B855" s="1">
        <v>45484</v>
      </c>
      <c r="C855" s="1">
        <v>45300</v>
      </c>
      <c r="D855" t="s">
        <v>305</v>
      </c>
      <c r="E855" t="s">
        <v>209</v>
      </c>
      <c r="F855">
        <v>1</v>
      </c>
      <c r="G855">
        <v>725</v>
      </c>
      <c r="H855">
        <v>0</v>
      </c>
      <c r="I855" t="s">
        <v>32</v>
      </c>
      <c r="J855" t="s">
        <v>26</v>
      </c>
      <c r="K855" s="6">
        <f t="shared" si="52"/>
        <v>725</v>
      </c>
      <c r="L855" s="6">
        <f t="shared" si="53"/>
        <v>725</v>
      </c>
      <c r="M855" s="6">
        <f>_xlfn.XLOOKUP(E855, Products!A:A, Products!E:E)</f>
        <v>53</v>
      </c>
      <c r="N855" s="6">
        <f t="shared" si="54"/>
        <v>53</v>
      </c>
      <c r="O855" s="8">
        <f t="shared" si="55"/>
        <v>672</v>
      </c>
      <c r="Q855" s="8"/>
      <c r="R855" s="8"/>
    </row>
    <row r="856" spans="1:18">
      <c r="A856" s="4">
        <v>100981</v>
      </c>
      <c r="B856" s="1">
        <v>45484</v>
      </c>
      <c r="C856" s="1">
        <v>45299</v>
      </c>
      <c r="D856" t="s">
        <v>109</v>
      </c>
      <c r="E856" t="s">
        <v>137</v>
      </c>
      <c r="F856">
        <v>1</v>
      </c>
      <c r="G856">
        <v>571</v>
      </c>
      <c r="H856">
        <v>15</v>
      </c>
      <c r="I856" t="s">
        <v>29</v>
      </c>
      <c r="J856" t="s">
        <v>26</v>
      </c>
      <c r="K856" s="6">
        <f t="shared" si="52"/>
        <v>571</v>
      </c>
      <c r="L856" s="6">
        <f t="shared" si="53"/>
        <v>-7994</v>
      </c>
      <c r="M856" s="6">
        <f>_xlfn.XLOOKUP(E856, Products!A:A, Products!E:E)</f>
        <v>239</v>
      </c>
      <c r="N856" s="6">
        <f t="shared" si="54"/>
        <v>239</v>
      </c>
      <c r="O856" s="8">
        <f t="shared" si="55"/>
        <v>-8233</v>
      </c>
      <c r="Q856" s="8"/>
      <c r="R856" s="8"/>
    </row>
    <row r="857" spans="1:18">
      <c r="A857" s="4">
        <v>100884</v>
      </c>
      <c r="B857" s="1">
        <v>45484</v>
      </c>
      <c r="C857" s="1">
        <v>45295</v>
      </c>
      <c r="D857" t="s">
        <v>148</v>
      </c>
      <c r="E857" t="s">
        <v>69</v>
      </c>
      <c r="F857">
        <v>1</v>
      </c>
      <c r="G857">
        <v>309</v>
      </c>
      <c r="H857">
        <v>10</v>
      </c>
      <c r="I857" t="s">
        <v>32</v>
      </c>
      <c r="J857" t="s">
        <v>16</v>
      </c>
      <c r="K857" s="6">
        <f t="shared" si="52"/>
        <v>309</v>
      </c>
      <c r="L857" s="6">
        <f t="shared" si="53"/>
        <v>-2781</v>
      </c>
      <c r="M857" s="6">
        <f>_xlfn.XLOOKUP(E857, Products!A:A, Products!E:E)</f>
        <v>82</v>
      </c>
      <c r="N857" s="6">
        <f t="shared" si="54"/>
        <v>82</v>
      </c>
      <c r="O857" s="8">
        <f t="shared" si="55"/>
        <v>-2863</v>
      </c>
      <c r="Q857" s="8"/>
      <c r="R857" s="8"/>
    </row>
    <row r="858" spans="1:18">
      <c r="A858" s="4">
        <v>100035</v>
      </c>
      <c r="B858" s="1">
        <v>45483</v>
      </c>
      <c r="C858" s="1">
        <v>45300</v>
      </c>
      <c r="D858" t="s">
        <v>78</v>
      </c>
      <c r="E858" t="s">
        <v>71</v>
      </c>
      <c r="F858">
        <v>1</v>
      </c>
      <c r="G858">
        <v>1317</v>
      </c>
      <c r="H858">
        <v>5</v>
      </c>
      <c r="I858" t="s">
        <v>12</v>
      </c>
      <c r="J858" t="s">
        <v>16</v>
      </c>
      <c r="K858" s="6">
        <f t="shared" si="52"/>
        <v>1317</v>
      </c>
      <c r="L858" s="6">
        <f t="shared" si="53"/>
        <v>-5268</v>
      </c>
      <c r="M858" s="6">
        <f>_xlfn.XLOOKUP(E858, Products!A:A, Products!E:E)</f>
        <v>126</v>
      </c>
      <c r="N858" s="6">
        <f t="shared" si="54"/>
        <v>126</v>
      </c>
      <c r="O858" s="8">
        <f t="shared" si="55"/>
        <v>-5394</v>
      </c>
      <c r="Q858" s="8"/>
      <c r="R858" s="8"/>
    </row>
    <row r="859" spans="1:18">
      <c r="A859" s="4">
        <v>100157</v>
      </c>
      <c r="B859" s="1">
        <v>45480</v>
      </c>
      <c r="C859" s="1">
        <v>45295</v>
      </c>
      <c r="D859" t="s">
        <v>218</v>
      </c>
      <c r="E859" t="s">
        <v>165</v>
      </c>
      <c r="F859">
        <v>1</v>
      </c>
      <c r="G859">
        <v>388</v>
      </c>
      <c r="H859">
        <v>10</v>
      </c>
      <c r="I859" t="s">
        <v>29</v>
      </c>
      <c r="J859" t="s">
        <v>22</v>
      </c>
      <c r="K859" s="6">
        <f t="shared" si="52"/>
        <v>388</v>
      </c>
      <c r="L859" s="6">
        <f t="shared" si="53"/>
        <v>-3492</v>
      </c>
      <c r="M859" s="6">
        <f>_xlfn.XLOOKUP(E859, Products!A:A, Products!E:E)</f>
        <v>241</v>
      </c>
      <c r="N859" s="6">
        <f t="shared" si="54"/>
        <v>241</v>
      </c>
      <c r="O859" s="8">
        <f t="shared" si="55"/>
        <v>-3733</v>
      </c>
      <c r="Q859" s="8"/>
      <c r="R859" s="8"/>
    </row>
    <row r="860" spans="1:18">
      <c r="A860" s="4">
        <v>100299</v>
      </c>
      <c r="B860" s="1">
        <v>45477</v>
      </c>
      <c r="C860" s="1">
        <v>45300</v>
      </c>
      <c r="D860" t="s">
        <v>296</v>
      </c>
      <c r="E860" t="s">
        <v>37</v>
      </c>
      <c r="F860">
        <v>1</v>
      </c>
      <c r="G860">
        <v>1323</v>
      </c>
      <c r="H860">
        <v>5</v>
      </c>
      <c r="I860" t="s">
        <v>19</v>
      </c>
      <c r="J860" t="s">
        <v>13</v>
      </c>
      <c r="K860" s="6">
        <f t="shared" si="52"/>
        <v>1323</v>
      </c>
      <c r="L860" s="6">
        <f t="shared" si="53"/>
        <v>-5292</v>
      </c>
      <c r="M860" s="6">
        <f>_xlfn.XLOOKUP(E860, Products!A:A, Products!E:E)</f>
        <v>282</v>
      </c>
      <c r="N860" s="6">
        <f t="shared" si="54"/>
        <v>282</v>
      </c>
      <c r="O860" s="8">
        <f t="shared" si="55"/>
        <v>-5574</v>
      </c>
      <c r="Q860" s="8"/>
      <c r="R860" s="8"/>
    </row>
    <row r="861" spans="1:18">
      <c r="A861" s="4">
        <v>100326</v>
      </c>
      <c r="B861" s="1">
        <v>45476</v>
      </c>
      <c r="C861" s="1">
        <v>45294</v>
      </c>
      <c r="D861" t="s">
        <v>307</v>
      </c>
      <c r="E861" t="s">
        <v>15</v>
      </c>
      <c r="F861">
        <v>1</v>
      </c>
      <c r="G861">
        <v>1646</v>
      </c>
      <c r="H861">
        <v>15</v>
      </c>
      <c r="I861" t="s">
        <v>29</v>
      </c>
      <c r="J861" t="s">
        <v>13</v>
      </c>
      <c r="K861" s="6">
        <f t="shared" si="52"/>
        <v>1646</v>
      </c>
      <c r="L861" s="6">
        <f t="shared" si="53"/>
        <v>-23044</v>
      </c>
      <c r="M861" s="6">
        <f>_xlfn.XLOOKUP(E861, Products!A:A, Products!E:E)</f>
        <v>242</v>
      </c>
      <c r="N861" s="6">
        <f t="shared" si="54"/>
        <v>242</v>
      </c>
      <c r="O861" s="8">
        <f t="shared" si="55"/>
        <v>-23286</v>
      </c>
      <c r="Q861" s="8"/>
      <c r="R861" s="8"/>
    </row>
    <row r="862" spans="1:18">
      <c r="A862" s="4">
        <v>100975</v>
      </c>
      <c r="B862" s="1">
        <v>45475</v>
      </c>
      <c r="C862" s="1">
        <v>45297</v>
      </c>
      <c r="D862" t="s">
        <v>147</v>
      </c>
      <c r="E862" t="s">
        <v>260</v>
      </c>
      <c r="F862">
        <v>1</v>
      </c>
      <c r="G862">
        <v>1031</v>
      </c>
      <c r="H862">
        <v>15</v>
      </c>
      <c r="I862" t="s">
        <v>19</v>
      </c>
      <c r="J862" t="s">
        <v>26</v>
      </c>
      <c r="K862" s="6">
        <f t="shared" si="52"/>
        <v>1031</v>
      </c>
      <c r="L862" s="6">
        <f t="shared" si="53"/>
        <v>-14434</v>
      </c>
      <c r="M862" s="6">
        <f>_xlfn.XLOOKUP(E862, Products!A:A, Products!E:E)</f>
        <v>222</v>
      </c>
      <c r="N862" s="6">
        <f t="shared" si="54"/>
        <v>222</v>
      </c>
      <c r="O862" s="8">
        <f t="shared" si="55"/>
        <v>-14656</v>
      </c>
      <c r="Q862" s="8"/>
      <c r="R862" s="8"/>
    </row>
    <row r="863" spans="1:18">
      <c r="A863" s="4">
        <v>100353</v>
      </c>
      <c r="B863" s="1">
        <v>45473</v>
      </c>
      <c r="C863" s="1">
        <v>45302</v>
      </c>
      <c r="D863" t="s">
        <v>319</v>
      </c>
      <c r="E863" t="s">
        <v>170</v>
      </c>
      <c r="F863">
        <v>1</v>
      </c>
      <c r="G863">
        <v>277</v>
      </c>
      <c r="H863">
        <v>0</v>
      </c>
      <c r="I863" t="s">
        <v>19</v>
      </c>
      <c r="J863" t="s">
        <v>13</v>
      </c>
      <c r="K863" s="6">
        <f t="shared" si="52"/>
        <v>277</v>
      </c>
      <c r="L863" s="6">
        <f t="shared" si="53"/>
        <v>277</v>
      </c>
      <c r="M863" s="6">
        <f>_xlfn.XLOOKUP(E863, Products!A:A, Products!E:E)</f>
        <v>264</v>
      </c>
      <c r="N863" s="6">
        <f t="shared" si="54"/>
        <v>264</v>
      </c>
      <c r="O863" s="8">
        <f t="shared" si="55"/>
        <v>13</v>
      </c>
      <c r="Q863" s="8"/>
      <c r="R863" s="8"/>
    </row>
    <row r="864" spans="1:18">
      <c r="A864" s="4">
        <v>100432</v>
      </c>
      <c r="B864" s="1">
        <v>45468</v>
      </c>
      <c r="C864" s="1">
        <v>45299</v>
      </c>
      <c r="D864" t="s">
        <v>184</v>
      </c>
      <c r="E864" t="s">
        <v>112</v>
      </c>
      <c r="F864">
        <v>1</v>
      </c>
      <c r="G864">
        <v>470</v>
      </c>
      <c r="H864">
        <v>0</v>
      </c>
      <c r="I864" t="s">
        <v>32</v>
      </c>
      <c r="J864" t="s">
        <v>13</v>
      </c>
      <c r="K864" s="6">
        <f t="shared" si="52"/>
        <v>470</v>
      </c>
      <c r="L864" s="6">
        <f t="shared" si="53"/>
        <v>470</v>
      </c>
      <c r="M864" s="6">
        <f>_xlfn.XLOOKUP(E864, Products!A:A, Products!E:E)</f>
        <v>72</v>
      </c>
      <c r="N864" s="6">
        <f t="shared" si="54"/>
        <v>72</v>
      </c>
      <c r="O864" s="8">
        <f t="shared" si="55"/>
        <v>398</v>
      </c>
      <c r="Q864" s="8"/>
      <c r="R864" s="8"/>
    </row>
    <row r="865" spans="1:18">
      <c r="A865" s="4">
        <v>100618</v>
      </c>
      <c r="B865" s="1">
        <v>45465</v>
      </c>
      <c r="C865" s="1">
        <v>45294</v>
      </c>
      <c r="D865" t="s">
        <v>304</v>
      </c>
      <c r="E865" t="s">
        <v>80</v>
      </c>
      <c r="F865">
        <v>1</v>
      </c>
      <c r="G865">
        <v>904</v>
      </c>
      <c r="H865">
        <v>15</v>
      </c>
      <c r="I865" t="s">
        <v>12</v>
      </c>
      <c r="J865" t="s">
        <v>16</v>
      </c>
      <c r="K865" s="6">
        <f t="shared" si="52"/>
        <v>904</v>
      </c>
      <c r="L865" s="6">
        <f t="shared" si="53"/>
        <v>-12656</v>
      </c>
      <c r="M865" s="6">
        <f>_xlfn.XLOOKUP(E865, Products!A:A, Products!E:E)</f>
        <v>71</v>
      </c>
      <c r="N865" s="6">
        <f t="shared" si="54"/>
        <v>71</v>
      </c>
      <c r="O865" s="8">
        <f t="shared" si="55"/>
        <v>-12727</v>
      </c>
      <c r="Q865" s="8"/>
      <c r="R865" s="8"/>
    </row>
    <row r="866" spans="1:18">
      <c r="A866" s="4">
        <v>100864</v>
      </c>
      <c r="B866" s="1">
        <v>45465</v>
      </c>
      <c r="C866" s="1">
        <v>45301</v>
      </c>
      <c r="D866" t="s">
        <v>72</v>
      </c>
      <c r="E866" t="s">
        <v>181</v>
      </c>
      <c r="F866">
        <v>1</v>
      </c>
      <c r="G866">
        <v>1222</v>
      </c>
      <c r="H866">
        <v>0</v>
      </c>
      <c r="I866" t="s">
        <v>19</v>
      </c>
      <c r="J866" t="s">
        <v>13</v>
      </c>
      <c r="K866" s="6">
        <f t="shared" si="52"/>
        <v>1222</v>
      </c>
      <c r="L866" s="6">
        <f t="shared" si="53"/>
        <v>1222</v>
      </c>
      <c r="M866" s="6">
        <f>_xlfn.XLOOKUP(E866, Products!A:A, Products!E:E)</f>
        <v>72</v>
      </c>
      <c r="N866" s="6">
        <f t="shared" si="54"/>
        <v>72</v>
      </c>
      <c r="O866" s="8">
        <f t="shared" si="55"/>
        <v>1150</v>
      </c>
      <c r="Q866" s="8"/>
      <c r="R866" s="8"/>
    </row>
    <row r="867" spans="1:18">
      <c r="A867" s="4">
        <v>100661</v>
      </c>
      <c r="B867" s="1">
        <v>45461</v>
      </c>
      <c r="C867" s="1">
        <v>45297</v>
      </c>
      <c r="D867" t="s">
        <v>386</v>
      </c>
      <c r="E867" t="s">
        <v>80</v>
      </c>
      <c r="F867">
        <v>1</v>
      </c>
      <c r="G867">
        <v>1080</v>
      </c>
      <c r="H867">
        <v>15</v>
      </c>
      <c r="I867" t="s">
        <v>19</v>
      </c>
      <c r="J867" t="s">
        <v>16</v>
      </c>
      <c r="K867" s="6">
        <f t="shared" si="52"/>
        <v>1080</v>
      </c>
      <c r="L867" s="6">
        <f t="shared" si="53"/>
        <v>-15120</v>
      </c>
      <c r="M867" s="6">
        <f>_xlfn.XLOOKUP(E867, Products!A:A, Products!E:E)</f>
        <v>71</v>
      </c>
      <c r="N867" s="6">
        <f t="shared" si="54"/>
        <v>71</v>
      </c>
      <c r="O867" s="8">
        <f t="shared" si="55"/>
        <v>-15191</v>
      </c>
      <c r="Q867" s="8"/>
      <c r="R867" s="8"/>
    </row>
    <row r="868" spans="1:18">
      <c r="A868" s="4">
        <v>100364</v>
      </c>
      <c r="B868" s="1">
        <v>45460</v>
      </c>
      <c r="C868" s="1">
        <v>45301</v>
      </c>
      <c r="D868" t="s">
        <v>245</v>
      </c>
      <c r="E868" t="s">
        <v>107</v>
      </c>
      <c r="F868">
        <v>1</v>
      </c>
      <c r="G868">
        <v>451</v>
      </c>
      <c r="H868">
        <v>0</v>
      </c>
      <c r="I868" t="s">
        <v>12</v>
      </c>
      <c r="J868" t="s">
        <v>13</v>
      </c>
      <c r="K868" s="6">
        <f t="shared" si="52"/>
        <v>451</v>
      </c>
      <c r="L868" s="6">
        <f t="shared" si="53"/>
        <v>451</v>
      </c>
      <c r="M868" s="6">
        <f>_xlfn.XLOOKUP(E868, Products!A:A, Products!E:E)</f>
        <v>232</v>
      </c>
      <c r="N868" s="6">
        <f t="shared" si="54"/>
        <v>232</v>
      </c>
      <c r="O868" s="8">
        <f t="shared" si="55"/>
        <v>219</v>
      </c>
      <c r="Q868" s="8"/>
      <c r="R868" s="8"/>
    </row>
    <row r="869" spans="1:18">
      <c r="A869" s="4">
        <v>100367</v>
      </c>
      <c r="B869" s="1">
        <v>45459</v>
      </c>
      <c r="C869" s="1">
        <v>45297</v>
      </c>
      <c r="D869" t="s">
        <v>23</v>
      </c>
      <c r="E869" t="s">
        <v>180</v>
      </c>
      <c r="F869">
        <v>1</v>
      </c>
      <c r="G869">
        <v>1541</v>
      </c>
      <c r="H869">
        <v>15</v>
      </c>
      <c r="I869" t="s">
        <v>12</v>
      </c>
      <c r="J869" t="s">
        <v>22</v>
      </c>
      <c r="K869" s="6">
        <f t="shared" si="52"/>
        <v>1541</v>
      </c>
      <c r="L869" s="6">
        <f t="shared" si="53"/>
        <v>-21574</v>
      </c>
      <c r="M869" s="6">
        <f>_xlfn.XLOOKUP(E869, Products!A:A, Products!E:E)</f>
        <v>81</v>
      </c>
      <c r="N869" s="6">
        <f t="shared" si="54"/>
        <v>81</v>
      </c>
      <c r="O869" s="8">
        <f t="shared" si="55"/>
        <v>-21655</v>
      </c>
      <c r="Q869" s="8"/>
      <c r="R869" s="8"/>
    </row>
    <row r="870" spans="1:18">
      <c r="A870" s="4">
        <v>100317</v>
      </c>
      <c r="B870" s="1">
        <v>45459</v>
      </c>
      <c r="C870" s="1">
        <v>45302</v>
      </c>
      <c r="D870" t="s">
        <v>304</v>
      </c>
      <c r="E870" t="s">
        <v>63</v>
      </c>
      <c r="F870">
        <v>1</v>
      </c>
      <c r="G870">
        <v>678</v>
      </c>
      <c r="H870">
        <v>15</v>
      </c>
      <c r="I870" t="s">
        <v>29</v>
      </c>
      <c r="J870" t="s">
        <v>13</v>
      </c>
      <c r="K870" s="6">
        <f t="shared" si="52"/>
        <v>678</v>
      </c>
      <c r="L870" s="6">
        <f t="shared" si="53"/>
        <v>-9492</v>
      </c>
      <c r="M870" s="6">
        <f>_xlfn.XLOOKUP(E870, Products!A:A, Products!E:E)</f>
        <v>294</v>
      </c>
      <c r="N870" s="6">
        <f t="shared" si="54"/>
        <v>294</v>
      </c>
      <c r="O870" s="8">
        <f t="shared" si="55"/>
        <v>-9786</v>
      </c>
      <c r="Q870" s="8"/>
      <c r="R870" s="8"/>
    </row>
    <row r="871" spans="1:18">
      <c r="A871" s="4">
        <v>100080</v>
      </c>
      <c r="B871" s="1">
        <v>45456</v>
      </c>
      <c r="C871" s="1">
        <v>45298</v>
      </c>
      <c r="D871" t="s">
        <v>106</v>
      </c>
      <c r="E871" t="s">
        <v>145</v>
      </c>
      <c r="F871">
        <v>1</v>
      </c>
      <c r="G871">
        <v>1933</v>
      </c>
      <c r="H871">
        <v>0</v>
      </c>
      <c r="I871" t="s">
        <v>19</v>
      </c>
      <c r="J871" t="s">
        <v>22</v>
      </c>
      <c r="K871" s="6">
        <f t="shared" si="52"/>
        <v>1933</v>
      </c>
      <c r="L871" s="6">
        <f t="shared" si="53"/>
        <v>1933</v>
      </c>
      <c r="M871" s="6">
        <f>_xlfn.XLOOKUP(E871, Products!A:A, Products!E:E)</f>
        <v>247</v>
      </c>
      <c r="N871" s="6">
        <f t="shared" si="54"/>
        <v>247</v>
      </c>
      <c r="O871" s="8">
        <f t="shared" si="55"/>
        <v>1686</v>
      </c>
      <c r="Q871" s="8"/>
      <c r="R871" s="8"/>
    </row>
    <row r="872" spans="1:18">
      <c r="A872" s="4">
        <v>100111</v>
      </c>
      <c r="B872" s="1">
        <v>45453</v>
      </c>
      <c r="C872" s="1">
        <v>45299</v>
      </c>
      <c r="D872" t="s">
        <v>177</v>
      </c>
      <c r="E872" t="s">
        <v>178</v>
      </c>
      <c r="F872">
        <v>1</v>
      </c>
      <c r="G872">
        <v>1224</v>
      </c>
      <c r="H872">
        <v>10</v>
      </c>
      <c r="I872" t="s">
        <v>29</v>
      </c>
      <c r="J872" t="s">
        <v>26</v>
      </c>
      <c r="K872" s="6">
        <f t="shared" si="52"/>
        <v>1224</v>
      </c>
      <c r="L872" s="6">
        <f t="shared" si="53"/>
        <v>-11016</v>
      </c>
      <c r="M872" s="6">
        <f>_xlfn.XLOOKUP(E872, Products!A:A, Products!E:E)</f>
        <v>121</v>
      </c>
      <c r="N872" s="6">
        <f t="shared" si="54"/>
        <v>121</v>
      </c>
      <c r="O872" s="8">
        <f t="shared" si="55"/>
        <v>-11137</v>
      </c>
      <c r="Q872" s="8"/>
      <c r="R872" s="8"/>
    </row>
    <row r="873" spans="1:18">
      <c r="A873" s="4">
        <v>100504</v>
      </c>
      <c r="B873" s="1">
        <v>45450</v>
      </c>
      <c r="C873" s="1">
        <v>45297</v>
      </c>
      <c r="D873" t="s">
        <v>146</v>
      </c>
      <c r="E873" t="s">
        <v>212</v>
      </c>
      <c r="F873">
        <v>1</v>
      </c>
      <c r="G873">
        <v>1167</v>
      </c>
      <c r="H873">
        <v>15</v>
      </c>
      <c r="I873" t="s">
        <v>19</v>
      </c>
      <c r="J873" t="s">
        <v>16</v>
      </c>
      <c r="K873" s="6">
        <f t="shared" si="52"/>
        <v>1167</v>
      </c>
      <c r="L873" s="6">
        <f t="shared" si="53"/>
        <v>-16338</v>
      </c>
      <c r="M873" s="6">
        <f>_xlfn.XLOOKUP(E873, Products!A:A, Products!E:E)</f>
        <v>196</v>
      </c>
      <c r="N873" s="6">
        <f t="shared" si="54"/>
        <v>196</v>
      </c>
      <c r="O873" s="8">
        <f t="shared" si="55"/>
        <v>-16534</v>
      </c>
      <c r="Q873" s="8"/>
      <c r="R873" s="8"/>
    </row>
    <row r="874" spans="1:18">
      <c r="A874" s="4">
        <v>100195</v>
      </c>
      <c r="B874" s="1">
        <v>45449</v>
      </c>
      <c r="C874" s="1">
        <v>45294</v>
      </c>
      <c r="D874" t="s">
        <v>223</v>
      </c>
      <c r="E874" t="s">
        <v>224</v>
      </c>
      <c r="F874">
        <v>1</v>
      </c>
      <c r="G874">
        <v>209</v>
      </c>
      <c r="H874">
        <v>15</v>
      </c>
      <c r="I874" t="s">
        <v>32</v>
      </c>
      <c r="J874" t="s">
        <v>26</v>
      </c>
      <c r="K874" s="6">
        <f t="shared" si="52"/>
        <v>209</v>
      </c>
      <c r="L874" s="6">
        <f t="shared" si="53"/>
        <v>-2926</v>
      </c>
      <c r="M874" s="6">
        <f>_xlfn.XLOOKUP(E874, Products!A:A, Products!E:E)</f>
        <v>118</v>
      </c>
      <c r="N874" s="6">
        <f t="shared" si="54"/>
        <v>118</v>
      </c>
      <c r="O874" s="8">
        <f t="shared" si="55"/>
        <v>-3044</v>
      </c>
      <c r="Q874" s="8"/>
      <c r="R874" s="8"/>
    </row>
    <row r="875" spans="1:18">
      <c r="A875" s="4">
        <v>100019</v>
      </c>
      <c r="B875" s="1">
        <v>45448</v>
      </c>
      <c r="C875" s="1">
        <v>45299</v>
      </c>
      <c r="D875" t="s">
        <v>52</v>
      </c>
      <c r="E875" t="s">
        <v>53</v>
      </c>
      <c r="F875">
        <v>1</v>
      </c>
      <c r="G875">
        <v>433</v>
      </c>
      <c r="H875">
        <v>15</v>
      </c>
      <c r="I875" t="s">
        <v>19</v>
      </c>
      <c r="J875" t="s">
        <v>16</v>
      </c>
      <c r="K875" s="6">
        <f t="shared" si="52"/>
        <v>433</v>
      </c>
      <c r="L875" s="6">
        <f t="shared" si="53"/>
        <v>-6062</v>
      </c>
      <c r="M875" s="6">
        <f>_xlfn.XLOOKUP(E875, Products!A:A, Products!E:E)</f>
        <v>140</v>
      </c>
      <c r="N875" s="6">
        <f t="shared" si="54"/>
        <v>140</v>
      </c>
      <c r="O875" s="8">
        <f t="shared" si="55"/>
        <v>-6202</v>
      </c>
      <c r="Q875" s="8"/>
      <c r="R875" s="8"/>
    </row>
    <row r="876" spans="1:18">
      <c r="A876" s="4">
        <v>100881</v>
      </c>
      <c r="B876" s="1">
        <v>45445</v>
      </c>
      <c r="C876" s="1">
        <v>45295</v>
      </c>
      <c r="D876" t="s">
        <v>84</v>
      </c>
      <c r="E876" t="s">
        <v>37</v>
      </c>
      <c r="F876">
        <v>1</v>
      </c>
      <c r="G876">
        <v>1569</v>
      </c>
      <c r="H876">
        <v>15</v>
      </c>
      <c r="I876" t="s">
        <v>32</v>
      </c>
      <c r="J876" t="s">
        <v>13</v>
      </c>
      <c r="K876" s="6">
        <f t="shared" si="52"/>
        <v>1569</v>
      </c>
      <c r="L876" s="6">
        <f t="shared" si="53"/>
        <v>-21966</v>
      </c>
      <c r="M876" s="6">
        <f>_xlfn.XLOOKUP(E876, Products!A:A, Products!E:E)</f>
        <v>282</v>
      </c>
      <c r="N876" s="6">
        <f t="shared" si="54"/>
        <v>282</v>
      </c>
      <c r="O876" s="8">
        <f t="shared" si="55"/>
        <v>-22248</v>
      </c>
      <c r="Q876" s="8"/>
      <c r="R876" s="8"/>
    </row>
    <row r="877" spans="1:18">
      <c r="A877" s="4">
        <v>100851</v>
      </c>
      <c r="B877" s="1">
        <v>45445</v>
      </c>
      <c r="C877" s="1">
        <v>45299</v>
      </c>
      <c r="D877" t="s">
        <v>404</v>
      </c>
      <c r="E877" t="s">
        <v>132</v>
      </c>
      <c r="F877">
        <v>1</v>
      </c>
      <c r="G877">
        <v>1285</v>
      </c>
      <c r="H877">
        <v>5</v>
      </c>
      <c r="I877" t="s">
        <v>12</v>
      </c>
      <c r="J877" t="s">
        <v>26</v>
      </c>
      <c r="K877" s="6">
        <f t="shared" si="52"/>
        <v>1285</v>
      </c>
      <c r="L877" s="6">
        <f t="shared" si="53"/>
        <v>-5140</v>
      </c>
      <c r="M877" s="6">
        <f>_xlfn.XLOOKUP(E877, Products!A:A, Products!E:E)</f>
        <v>138</v>
      </c>
      <c r="N877" s="6">
        <f t="shared" si="54"/>
        <v>138</v>
      </c>
      <c r="O877" s="8">
        <f t="shared" si="55"/>
        <v>-5278</v>
      </c>
      <c r="Q877" s="8"/>
      <c r="R877" s="8"/>
    </row>
    <row r="878" spans="1:18">
      <c r="A878" s="4">
        <v>100837</v>
      </c>
      <c r="B878" s="1">
        <v>45442</v>
      </c>
      <c r="C878" s="1">
        <v>45295</v>
      </c>
      <c r="D878" t="s">
        <v>169</v>
      </c>
      <c r="E878" t="s">
        <v>95</v>
      </c>
      <c r="F878">
        <v>1</v>
      </c>
      <c r="G878">
        <v>1843</v>
      </c>
      <c r="H878">
        <v>15</v>
      </c>
      <c r="I878" t="s">
        <v>29</v>
      </c>
      <c r="J878" t="s">
        <v>22</v>
      </c>
      <c r="K878" s="6">
        <f t="shared" si="52"/>
        <v>1843</v>
      </c>
      <c r="L878" s="6">
        <f t="shared" si="53"/>
        <v>-25802</v>
      </c>
      <c r="M878" s="6">
        <f>_xlfn.XLOOKUP(E878, Products!A:A, Products!E:E)</f>
        <v>113</v>
      </c>
      <c r="N878" s="6">
        <f t="shared" si="54"/>
        <v>113</v>
      </c>
      <c r="O878" s="8">
        <f t="shared" si="55"/>
        <v>-25915</v>
      </c>
      <c r="Q878" s="8"/>
      <c r="R878" s="8"/>
    </row>
    <row r="879" spans="1:18">
      <c r="A879" s="4">
        <v>100505</v>
      </c>
      <c r="B879" s="1">
        <v>45438</v>
      </c>
      <c r="C879" s="1">
        <v>45296</v>
      </c>
      <c r="D879" t="s">
        <v>361</v>
      </c>
      <c r="E879" t="s">
        <v>34</v>
      </c>
      <c r="F879">
        <v>1</v>
      </c>
      <c r="G879">
        <v>387</v>
      </c>
      <c r="H879">
        <v>5</v>
      </c>
      <c r="I879" t="s">
        <v>19</v>
      </c>
      <c r="J879" t="s">
        <v>26</v>
      </c>
      <c r="K879" s="6">
        <f t="shared" si="52"/>
        <v>387</v>
      </c>
      <c r="L879" s="6">
        <f t="shared" si="53"/>
        <v>-1548</v>
      </c>
      <c r="M879" s="6">
        <f>_xlfn.XLOOKUP(E879, Products!A:A, Products!E:E)</f>
        <v>187</v>
      </c>
      <c r="N879" s="6">
        <f t="shared" si="54"/>
        <v>187</v>
      </c>
      <c r="O879" s="8">
        <f t="shared" si="55"/>
        <v>-1735</v>
      </c>
      <c r="Q879" s="8"/>
      <c r="R879" s="8"/>
    </row>
    <row r="880" spans="1:18">
      <c r="A880" s="4">
        <v>100494</v>
      </c>
      <c r="B880" s="1">
        <v>45437</v>
      </c>
      <c r="C880" s="1">
        <v>45298</v>
      </c>
      <c r="D880" t="s">
        <v>293</v>
      </c>
      <c r="E880" t="s">
        <v>112</v>
      </c>
      <c r="F880">
        <v>1</v>
      </c>
      <c r="G880">
        <v>1133</v>
      </c>
      <c r="H880">
        <v>5</v>
      </c>
      <c r="I880" t="s">
        <v>19</v>
      </c>
      <c r="J880" t="s">
        <v>26</v>
      </c>
      <c r="K880" s="6">
        <f t="shared" si="52"/>
        <v>1133</v>
      </c>
      <c r="L880" s="6">
        <f t="shared" si="53"/>
        <v>-4532</v>
      </c>
      <c r="M880" s="6">
        <f>_xlfn.XLOOKUP(E880, Products!A:A, Products!E:E)</f>
        <v>72</v>
      </c>
      <c r="N880" s="6">
        <f t="shared" si="54"/>
        <v>72</v>
      </c>
      <c r="O880" s="8">
        <f t="shared" si="55"/>
        <v>-4604</v>
      </c>
      <c r="Q880" s="8"/>
      <c r="R880" s="8"/>
    </row>
    <row r="881" spans="1:18">
      <c r="A881" s="4">
        <v>100179</v>
      </c>
      <c r="B881" s="1">
        <v>45435</v>
      </c>
      <c r="C881" s="1">
        <v>45299</v>
      </c>
      <c r="D881" t="s">
        <v>230</v>
      </c>
      <c r="E881" t="s">
        <v>201</v>
      </c>
      <c r="F881">
        <v>1</v>
      </c>
      <c r="G881">
        <v>1839</v>
      </c>
      <c r="H881">
        <v>15</v>
      </c>
      <c r="I881" t="s">
        <v>32</v>
      </c>
      <c r="J881" t="s">
        <v>22</v>
      </c>
      <c r="K881" s="6">
        <f t="shared" si="52"/>
        <v>1839</v>
      </c>
      <c r="L881" s="6">
        <f t="shared" si="53"/>
        <v>-25746</v>
      </c>
      <c r="M881" s="6">
        <f>_xlfn.XLOOKUP(E881, Products!A:A, Products!E:E)</f>
        <v>123</v>
      </c>
      <c r="N881" s="6">
        <f t="shared" si="54"/>
        <v>123</v>
      </c>
      <c r="O881" s="8">
        <f t="shared" si="55"/>
        <v>-25869</v>
      </c>
      <c r="Q881" s="8"/>
      <c r="R881" s="8"/>
    </row>
    <row r="882" spans="1:18">
      <c r="A882" s="4">
        <v>100300</v>
      </c>
      <c r="B882" s="1">
        <v>45434</v>
      </c>
      <c r="C882" s="1">
        <v>45294</v>
      </c>
      <c r="D882" t="s">
        <v>244</v>
      </c>
      <c r="E882" t="s">
        <v>138</v>
      </c>
      <c r="F882">
        <v>1</v>
      </c>
      <c r="G882">
        <v>674</v>
      </c>
      <c r="H882">
        <v>10</v>
      </c>
      <c r="I882" t="s">
        <v>32</v>
      </c>
      <c r="J882" t="s">
        <v>26</v>
      </c>
      <c r="K882" s="6">
        <f t="shared" si="52"/>
        <v>674</v>
      </c>
      <c r="L882" s="6">
        <f t="shared" si="53"/>
        <v>-6066</v>
      </c>
      <c r="M882" s="6">
        <f>_xlfn.XLOOKUP(E882, Products!A:A, Products!E:E)</f>
        <v>186</v>
      </c>
      <c r="N882" s="6">
        <f t="shared" si="54"/>
        <v>186</v>
      </c>
      <c r="O882" s="8">
        <f t="shared" si="55"/>
        <v>-6252</v>
      </c>
      <c r="Q882" s="8"/>
      <c r="R882" s="8"/>
    </row>
    <row r="883" spans="1:18">
      <c r="A883" s="4">
        <v>100318</v>
      </c>
      <c r="B883" s="1">
        <v>45432</v>
      </c>
      <c r="C883" s="1">
        <v>45301</v>
      </c>
      <c r="D883" t="s">
        <v>305</v>
      </c>
      <c r="E883" t="s">
        <v>224</v>
      </c>
      <c r="F883">
        <v>1</v>
      </c>
      <c r="G883">
        <v>612</v>
      </c>
      <c r="H883">
        <v>15</v>
      </c>
      <c r="I883" t="s">
        <v>29</v>
      </c>
      <c r="J883" t="s">
        <v>16</v>
      </c>
      <c r="K883" s="6">
        <f t="shared" si="52"/>
        <v>612</v>
      </c>
      <c r="L883" s="6">
        <f t="shared" si="53"/>
        <v>-8568</v>
      </c>
      <c r="M883" s="6">
        <f>_xlfn.XLOOKUP(E883, Products!A:A, Products!E:E)</f>
        <v>118</v>
      </c>
      <c r="N883" s="6">
        <f t="shared" si="54"/>
        <v>118</v>
      </c>
      <c r="O883" s="8">
        <f t="shared" si="55"/>
        <v>-8686</v>
      </c>
      <c r="Q883" s="8"/>
      <c r="R883" s="8"/>
    </row>
    <row r="884" spans="1:18">
      <c r="A884" s="4">
        <v>100651</v>
      </c>
      <c r="B884" s="1">
        <v>45430</v>
      </c>
      <c r="C884" s="1">
        <v>45301</v>
      </c>
      <c r="D884" t="s">
        <v>117</v>
      </c>
      <c r="E884" t="s">
        <v>95</v>
      </c>
      <c r="F884">
        <v>1</v>
      </c>
      <c r="G884">
        <v>853</v>
      </c>
      <c r="H884">
        <v>10</v>
      </c>
      <c r="I884" t="s">
        <v>19</v>
      </c>
      <c r="J884" t="s">
        <v>16</v>
      </c>
      <c r="K884" s="6">
        <f t="shared" si="52"/>
        <v>853</v>
      </c>
      <c r="L884" s="6">
        <f t="shared" si="53"/>
        <v>-7677</v>
      </c>
      <c r="M884" s="6">
        <f>_xlfn.XLOOKUP(E884, Products!A:A, Products!E:E)</f>
        <v>113</v>
      </c>
      <c r="N884" s="6">
        <f t="shared" si="54"/>
        <v>113</v>
      </c>
      <c r="O884" s="8">
        <f t="shared" si="55"/>
        <v>-7790</v>
      </c>
      <c r="Q884" s="8"/>
      <c r="R884" s="8"/>
    </row>
    <row r="885" spans="1:18">
      <c r="A885" s="4">
        <v>100979</v>
      </c>
      <c r="B885" s="1">
        <v>45429</v>
      </c>
      <c r="C885" s="1">
        <v>45300</v>
      </c>
      <c r="D885" t="s">
        <v>266</v>
      </c>
      <c r="E885" t="s">
        <v>91</v>
      </c>
      <c r="F885">
        <v>1</v>
      </c>
      <c r="G885">
        <v>496</v>
      </c>
      <c r="H885">
        <v>15</v>
      </c>
      <c r="I885" t="s">
        <v>29</v>
      </c>
      <c r="J885" t="s">
        <v>26</v>
      </c>
      <c r="K885" s="6">
        <f t="shared" si="52"/>
        <v>496</v>
      </c>
      <c r="L885" s="6">
        <f t="shared" si="53"/>
        <v>-6944</v>
      </c>
      <c r="M885" s="6">
        <f>_xlfn.XLOOKUP(E885, Products!A:A, Products!E:E)</f>
        <v>243</v>
      </c>
      <c r="N885" s="6">
        <f t="shared" si="54"/>
        <v>243</v>
      </c>
      <c r="O885" s="8">
        <f t="shared" si="55"/>
        <v>-7187</v>
      </c>
      <c r="Q885" s="8"/>
      <c r="R885" s="8"/>
    </row>
    <row r="886" spans="1:18">
      <c r="A886" s="4">
        <v>100335</v>
      </c>
      <c r="B886" s="1">
        <v>45428</v>
      </c>
      <c r="C886" s="1">
        <v>45300</v>
      </c>
      <c r="D886" t="s">
        <v>309</v>
      </c>
      <c r="E886" t="s">
        <v>75</v>
      </c>
      <c r="F886">
        <v>1</v>
      </c>
      <c r="G886">
        <v>903</v>
      </c>
      <c r="H886">
        <v>5</v>
      </c>
      <c r="I886" t="s">
        <v>29</v>
      </c>
      <c r="J886" t="s">
        <v>16</v>
      </c>
      <c r="K886" s="6">
        <f t="shared" si="52"/>
        <v>903</v>
      </c>
      <c r="L886" s="6">
        <f t="shared" si="53"/>
        <v>-3612</v>
      </c>
      <c r="M886" s="6">
        <f>_xlfn.XLOOKUP(E886, Products!A:A, Products!E:E)</f>
        <v>70</v>
      </c>
      <c r="N886" s="6">
        <f t="shared" si="54"/>
        <v>70</v>
      </c>
      <c r="O886" s="8">
        <f t="shared" si="55"/>
        <v>-3682</v>
      </c>
      <c r="Q886" s="8"/>
      <c r="R886" s="8"/>
    </row>
    <row r="887" spans="1:18">
      <c r="A887" s="4">
        <v>100946</v>
      </c>
      <c r="B887" s="1">
        <v>45427</v>
      </c>
      <c r="C887" s="1">
        <v>45296</v>
      </c>
      <c r="D887" t="s">
        <v>342</v>
      </c>
      <c r="E887" t="s">
        <v>158</v>
      </c>
      <c r="F887">
        <v>1</v>
      </c>
      <c r="G887">
        <v>1779</v>
      </c>
      <c r="H887">
        <v>0</v>
      </c>
      <c r="I887" t="s">
        <v>32</v>
      </c>
      <c r="J887" t="s">
        <v>16</v>
      </c>
      <c r="K887" s="6">
        <f t="shared" si="52"/>
        <v>1779</v>
      </c>
      <c r="L887" s="6">
        <f t="shared" si="53"/>
        <v>1779</v>
      </c>
      <c r="M887" s="6">
        <f>_xlfn.XLOOKUP(E887, Products!A:A, Products!E:E)</f>
        <v>281</v>
      </c>
      <c r="N887" s="6">
        <f t="shared" si="54"/>
        <v>281</v>
      </c>
      <c r="O887" s="8">
        <f t="shared" si="55"/>
        <v>1498</v>
      </c>
      <c r="Q887" s="8"/>
      <c r="R887" s="8"/>
    </row>
    <row r="888" spans="1:18">
      <c r="A888" s="4">
        <v>100405</v>
      </c>
      <c r="B888" s="1">
        <v>45426</v>
      </c>
      <c r="C888" s="1">
        <v>45297</v>
      </c>
      <c r="D888" t="s">
        <v>338</v>
      </c>
      <c r="E888" t="s">
        <v>77</v>
      </c>
      <c r="F888">
        <v>1</v>
      </c>
      <c r="G888">
        <v>1927</v>
      </c>
      <c r="H888">
        <v>5</v>
      </c>
      <c r="I888" t="s">
        <v>12</v>
      </c>
      <c r="J888" t="s">
        <v>16</v>
      </c>
      <c r="K888" s="6">
        <f t="shared" si="52"/>
        <v>1927</v>
      </c>
      <c r="L888" s="6">
        <f t="shared" si="53"/>
        <v>-7708</v>
      </c>
      <c r="M888" s="6">
        <f>_xlfn.XLOOKUP(E888, Products!A:A, Products!E:E)</f>
        <v>94</v>
      </c>
      <c r="N888" s="6">
        <f t="shared" si="54"/>
        <v>94</v>
      </c>
      <c r="O888" s="8">
        <f t="shared" si="55"/>
        <v>-7802</v>
      </c>
      <c r="Q888" s="8"/>
      <c r="R888" s="8"/>
    </row>
    <row r="889" spans="1:18">
      <c r="A889" s="4">
        <v>100762</v>
      </c>
      <c r="B889" s="1">
        <v>45426</v>
      </c>
      <c r="C889" s="1">
        <v>45300</v>
      </c>
      <c r="D889" t="s">
        <v>234</v>
      </c>
      <c r="E889" t="s">
        <v>65</v>
      </c>
      <c r="F889">
        <v>1</v>
      </c>
      <c r="G889">
        <v>1990</v>
      </c>
      <c r="H889">
        <v>5</v>
      </c>
      <c r="I889" t="s">
        <v>29</v>
      </c>
      <c r="J889" t="s">
        <v>26</v>
      </c>
      <c r="K889" s="6">
        <f t="shared" si="52"/>
        <v>1990</v>
      </c>
      <c r="L889" s="6">
        <f t="shared" si="53"/>
        <v>-7960</v>
      </c>
      <c r="M889" s="6">
        <f>_xlfn.XLOOKUP(E889, Products!A:A, Products!E:E)</f>
        <v>213</v>
      </c>
      <c r="N889" s="6">
        <f t="shared" si="54"/>
        <v>213</v>
      </c>
      <c r="O889" s="8">
        <f t="shared" si="55"/>
        <v>-8173</v>
      </c>
      <c r="Q889" s="8"/>
      <c r="R889" s="8"/>
    </row>
    <row r="890" spans="1:18">
      <c r="A890" s="4">
        <v>100406</v>
      </c>
      <c r="B890" s="1">
        <v>45426</v>
      </c>
      <c r="C890" s="1">
        <v>45301</v>
      </c>
      <c r="D890" t="s">
        <v>324</v>
      </c>
      <c r="E890" t="s">
        <v>180</v>
      </c>
      <c r="F890">
        <v>1</v>
      </c>
      <c r="G890">
        <v>1853</v>
      </c>
      <c r="H890">
        <v>15</v>
      </c>
      <c r="I890" t="s">
        <v>32</v>
      </c>
      <c r="J890" t="s">
        <v>16</v>
      </c>
      <c r="K890" s="6">
        <f t="shared" si="52"/>
        <v>1853</v>
      </c>
      <c r="L890" s="6">
        <f t="shared" si="53"/>
        <v>-25942</v>
      </c>
      <c r="M890" s="6">
        <f>_xlfn.XLOOKUP(E890, Products!A:A, Products!E:E)</f>
        <v>81</v>
      </c>
      <c r="N890" s="6">
        <f t="shared" si="54"/>
        <v>81</v>
      </c>
      <c r="O890" s="8">
        <f t="shared" si="55"/>
        <v>-26023</v>
      </c>
      <c r="Q890" s="8"/>
      <c r="R890" s="8"/>
    </row>
    <row r="891" spans="1:18">
      <c r="A891" s="4">
        <v>100692</v>
      </c>
      <c r="B891" s="1">
        <v>45425</v>
      </c>
      <c r="C891" s="1">
        <v>45301</v>
      </c>
      <c r="D891" t="s">
        <v>230</v>
      </c>
      <c r="E891" t="s">
        <v>75</v>
      </c>
      <c r="F891">
        <v>1</v>
      </c>
      <c r="G891">
        <v>1070</v>
      </c>
      <c r="H891">
        <v>15</v>
      </c>
      <c r="I891" t="s">
        <v>12</v>
      </c>
      <c r="J891" t="s">
        <v>13</v>
      </c>
      <c r="K891" s="6">
        <f t="shared" si="52"/>
        <v>1070</v>
      </c>
      <c r="L891" s="6">
        <f t="shared" si="53"/>
        <v>-14980</v>
      </c>
      <c r="M891" s="6">
        <f>_xlfn.XLOOKUP(E891, Products!A:A, Products!E:E)</f>
        <v>70</v>
      </c>
      <c r="N891" s="6">
        <f t="shared" si="54"/>
        <v>70</v>
      </c>
      <c r="O891" s="8">
        <f t="shared" si="55"/>
        <v>-15050</v>
      </c>
      <c r="Q891" s="8"/>
      <c r="R891" s="8"/>
    </row>
    <row r="892" spans="1:18">
      <c r="A892" s="4">
        <v>100319</v>
      </c>
      <c r="B892" s="1">
        <v>45423</v>
      </c>
      <c r="C892" s="1">
        <v>45301</v>
      </c>
      <c r="D892" t="s">
        <v>205</v>
      </c>
      <c r="E892" t="s">
        <v>247</v>
      </c>
      <c r="F892">
        <v>1</v>
      </c>
      <c r="G892">
        <v>1901</v>
      </c>
      <c r="H892">
        <v>10</v>
      </c>
      <c r="I892" t="s">
        <v>32</v>
      </c>
      <c r="J892" t="s">
        <v>13</v>
      </c>
      <c r="K892" s="6">
        <f t="shared" si="52"/>
        <v>1901</v>
      </c>
      <c r="L892" s="6">
        <f t="shared" si="53"/>
        <v>-17109</v>
      </c>
      <c r="M892" s="6">
        <f>_xlfn.XLOOKUP(E892, Products!A:A, Products!E:E)</f>
        <v>70</v>
      </c>
      <c r="N892" s="6">
        <f t="shared" si="54"/>
        <v>70</v>
      </c>
      <c r="O892" s="8">
        <f t="shared" si="55"/>
        <v>-17179</v>
      </c>
      <c r="Q892" s="8"/>
      <c r="R892" s="8"/>
    </row>
    <row r="893" spans="1:18">
      <c r="A893" s="4">
        <v>100938</v>
      </c>
      <c r="B893" s="1">
        <v>45420</v>
      </c>
      <c r="C893" s="1">
        <v>45301</v>
      </c>
      <c r="D893" t="s">
        <v>309</v>
      </c>
      <c r="E893" t="s">
        <v>212</v>
      </c>
      <c r="F893">
        <v>1</v>
      </c>
      <c r="G893">
        <v>1161</v>
      </c>
      <c r="H893">
        <v>15</v>
      </c>
      <c r="I893" t="s">
        <v>29</v>
      </c>
      <c r="J893" t="s">
        <v>16</v>
      </c>
      <c r="K893" s="6">
        <f t="shared" si="52"/>
        <v>1161</v>
      </c>
      <c r="L893" s="6">
        <f t="shared" si="53"/>
        <v>-16254</v>
      </c>
      <c r="M893" s="6">
        <f>_xlfn.XLOOKUP(E893, Products!A:A, Products!E:E)</f>
        <v>196</v>
      </c>
      <c r="N893" s="6">
        <f t="shared" si="54"/>
        <v>196</v>
      </c>
      <c r="O893" s="8">
        <f t="shared" si="55"/>
        <v>-16450</v>
      </c>
      <c r="Q893" s="8"/>
      <c r="R893" s="8"/>
    </row>
    <row r="894" spans="1:18">
      <c r="A894" s="4">
        <v>100693</v>
      </c>
      <c r="B894" s="1">
        <v>45419</v>
      </c>
      <c r="C894" s="1">
        <v>45300</v>
      </c>
      <c r="D894" t="s">
        <v>233</v>
      </c>
      <c r="E894" t="s">
        <v>206</v>
      </c>
      <c r="F894">
        <v>1</v>
      </c>
      <c r="G894">
        <v>1670</v>
      </c>
      <c r="H894">
        <v>10</v>
      </c>
      <c r="I894" t="s">
        <v>29</v>
      </c>
      <c r="J894" t="s">
        <v>26</v>
      </c>
      <c r="K894" s="6">
        <f t="shared" si="52"/>
        <v>1670</v>
      </c>
      <c r="L894" s="6">
        <f t="shared" si="53"/>
        <v>-15030</v>
      </c>
      <c r="M894" s="6">
        <f>_xlfn.XLOOKUP(E894, Products!A:A, Products!E:E)</f>
        <v>50</v>
      </c>
      <c r="N894" s="6">
        <f t="shared" si="54"/>
        <v>50</v>
      </c>
      <c r="O894" s="8">
        <f t="shared" si="55"/>
        <v>-15080</v>
      </c>
      <c r="Q894" s="8"/>
      <c r="R894" s="8"/>
    </row>
    <row r="895" spans="1:18">
      <c r="A895" s="4">
        <v>100582</v>
      </c>
      <c r="B895" s="1">
        <v>45415</v>
      </c>
      <c r="C895" s="1">
        <v>45300</v>
      </c>
      <c r="D895" t="s">
        <v>366</v>
      </c>
      <c r="E895" t="s">
        <v>265</v>
      </c>
      <c r="F895">
        <v>1</v>
      </c>
      <c r="G895">
        <v>1038</v>
      </c>
      <c r="H895">
        <v>15</v>
      </c>
      <c r="I895" t="s">
        <v>32</v>
      </c>
      <c r="J895" t="s">
        <v>13</v>
      </c>
      <c r="K895" s="6">
        <f t="shared" si="52"/>
        <v>1038</v>
      </c>
      <c r="L895" s="6">
        <f t="shared" si="53"/>
        <v>-14532</v>
      </c>
      <c r="M895" s="6">
        <f>_xlfn.XLOOKUP(E895, Products!A:A, Products!E:E)</f>
        <v>218</v>
      </c>
      <c r="N895" s="6">
        <f t="shared" si="54"/>
        <v>218</v>
      </c>
      <c r="O895" s="8">
        <f t="shared" si="55"/>
        <v>-14750</v>
      </c>
      <c r="Q895" s="8"/>
      <c r="R895" s="8"/>
    </row>
    <row r="896" spans="1:18">
      <c r="A896" s="4">
        <v>100674</v>
      </c>
      <c r="B896" s="1">
        <v>45413</v>
      </c>
      <c r="C896" s="1">
        <v>45296</v>
      </c>
      <c r="D896" t="s">
        <v>320</v>
      </c>
      <c r="E896" t="s">
        <v>137</v>
      </c>
      <c r="F896">
        <v>1</v>
      </c>
      <c r="G896">
        <v>793</v>
      </c>
      <c r="H896">
        <v>0</v>
      </c>
      <c r="I896" t="s">
        <v>32</v>
      </c>
      <c r="J896" t="s">
        <v>22</v>
      </c>
      <c r="K896" s="6">
        <f t="shared" si="52"/>
        <v>793</v>
      </c>
      <c r="L896" s="6">
        <f t="shared" si="53"/>
        <v>793</v>
      </c>
      <c r="M896" s="6">
        <f>_xlfn.XLOOKUP(E896, Products!A:A, Products!E:E)</f>
        <v>239</v>
      </c>
      <c r="N896" s="6">
        <f t="shared" si="54"/>
        <v>239</v>
      </c>
      <c r="O896" s="8">
        <f t="shared" si="55"/>
        <v>554</v>
      </c>
      <c r="Q896" s="8"/>
      <c r="R896" s="8"/>
    </row>
    <row r="897" spans="1:18">
      <c r="A897" s="4">
        <v>100967</v>
      </c>
      <c r="B897" s="1">
        <v>45411</v>
      </c>
      <c r="C897" s="1">
        <v>45302</v>
      </c>
      <c r="D897" t="s">
        <v>342</v>
      </c>
      <c r="E897" t="s">
        <v>80</v>
      </c>
      <c r="F897">
        <v>1</v>
      </c>
      <c r="G897">
        <v>310</v>
      </c>
      <c r="H897">
        <v>0</v>
      </c>
      <c r="I897" t="s">
        <v>19</v>
      </c>
      <c r="J897" t="s">
        <v>16</v>
      </c>
      <c r="K897" s="6">
        <f t="shared" si="52"/>
        <v>310</v>
      </c>
      <c r="L897" s="6">
        <f t="shared" si="53"/>
        <v>310</v>
      </c>
      <c r="M897" s="6">
        <f>_xlfn.XLOOKUP(E897, Products!A:A, Products!E:E)</f>
        <v>71</v>
      </c>
      <c r="N897" s="6">
        <f t="shared" si="54"/>
        <v>71</v>
      </c>
      <c r="O897" s="8">
        <f t="shared" si="55"/>
        <v>239</v>
      </c>
      <c r="Q897" s="8"/>
      <c r="R897" s="8"/>
    </row>
    <row r="898" spans="1:18">
      <c r="A898" s="4">
        <v>100402</v>
      </c>
      <c r="B898" s="1">
        <v>45410</v>
      </c>
      <c r="C898" s="1">
        <v>45302</v>
      </c>
      <c r="D898" t="s">
        <v>182</v>
      </c>
      <c r="E898" t="s">
        <v>15</v>
      </c>
      <c r="F898">
        <v>1</v>
      </c>
      <c r="G898">
        <v>920</v>
      </c>
      <c r="H898">
        <v>5</v>
      </c>
      <c r="I898" t="s">
        <v>29</v>
      </c>
      <c r="J898" t="s">
        <v>13</v>
      </c>
      <c r="K898" s="6">
        <f t="shared" ref="K898:K961" si="56">F898*G898</f>
        <v>920</v>
      </c>
      <c r="L898" s="6">
        <f t="shared" si="53"/>
        <v>-3680</v>
      </c>
      <c r="M898" s="6">
        <f>_xlfn.XLOOKUP(E898, Products!A:A, Products!E:E)</f>
        <v>242</v>
      </c>
      <c r="N898" s="6">
        <f t="shared" si="54"/>
        <v>242</v>
      </c>
      <c r="O898" s="8">
        <f t="shared" si="55"/>
        <v>-3922</v>
      </c>
      <c r="Q898" s="8"/>
      <c r="R898" s="8"/>
    </row>
    <row r="899" spans="1:18">
      <c r="A899" s="4">
        <v>100142</v>
      </c>
      <c r="B899" s="1">
        <v>45410</v>
      </c>
      <c r="C899" s="1">
        <v>45296</v>
      </c>
      <c r="D899" t="s">
        <v>208</v>
      </c>
      <c r="E899" t="s">
        <v>209</v>
      </c>
      <c r="F899">
        <v>1</v>
      </c>
      <c r="G899">
        <v>351</v>
      </c>
      <c r="H899">
        <v>15</v>
      </c>
      <c r="I899" t="s">
        <v>19</v>
      </c>
      <c r="J899" t="s">
        <v>22</v>
      </c>
      <c r="K899" s="6">
        <f t="shared" si="56"/>
        <v>351</v>
      </c>
      <c r="L899" s="6">
        <f t="shared" ref="L899:L962" si="57">F899*G899*(1-H899)</f>
        <v>-4914</v>
      </c>
      <c r="M899" s="6">
        <f>_xlfn.XLOOKUP(E899, Products!A:A, Products!E:E)</f>
        <v>53</v>
      </c>
      <c r="N899" s="6">
        <f t="shared" ref="N899:N962" si="58">F899*M899</f>
        <v>53</v>
      </c>
      <c r="O899" s="8">
        <f t="shared" ref="O899:O962" si="59">L899-N899</f>
        <v>-4967</v>
      </c>
      <c r="Q899" s="8"/>
      <c r="R899" s="8"/>
    </row>
    <row r="900" spans="1:18">
      <c r="A900" s="4">
        <v>100999</v>
      </c>
      <c r="B900" s="1">
        <v>45409</v>
      </c>
      <c r="C900" s="1">
        <v>45297</v>
      </c>
      <c r="D900" t="s">
        <v>395</v>
      </c>
      <c r="E900" t="s">
        <v>325</v>
      </c>
      <c r="F900">
        <v>1</v>
      </c>
      <c r="G900">
        <v>973</v>
      </c>
      <c r="H900">
        <v>10</v>
      </c>
      <c r="I900" t="s">
        <v>32</v>
      </c>
      <c r="J900" t="s">
        <v>13</v>
      </c>
      <c r="K900" s="6">
        <f t="shared" si="56"/>
        <v>973</v>
      </c>
      <c r="L900" s="6">
        <f t="shared" si="57"/>
        <v>-8757</v>
      </c>
      <c r="M900" s="6">
        <f>_xlfn.XLOOKUP(E900, Products!A:A, Products!E:E)</f>
        <v>68</v>
      </c>
      <c r="N900" s="6">
        <f t="shared" si="58"/>
        <v>68</v>
      </c>
      <c r="O900" s="8">
        <f t="shared" si="59"/>
        <v>-8825</v>
      </c>
      <c r="Q900" s="8"/>
      <c r="R900" s="8"/>
    </row>
    <row r="901" spans="1:18">
      <c r="A901" s="4">
        <v>100053</v>
      </c>
      <c r="B901" s="1">
        <v>45405</v>
      </c>
      <c r="C901" s="1">
        <v>45299</v>
      </c>
      <c r="D901" t="s">
        <v>79</v>
      </c>
      <c r="E901" t="s">
        <v>108</v>
      </c>
      <c r="F901">
        <v>1</v>
      </c>
      <c r="G901">
        <v>970</v>
      </c>
      <c r="H901">
        <v>15</v>
      </c>
      <c r="I901" t="s">
        <v>29</v>
      </c>
      <c r="J901" t="s">
        <v>16</v>
      </c>
      <c r="K901" s="6">
        <f t="shared" si="56"/>
        <v>970</v>
      </c>
      <c r="L901" s="6">
        <f t="shared" si="57"/>
        <v>-13580</v>
      </c>
      <c r="M901" s="6">
        <f>_xlfn.XLOOKUP(E901, Products!A:A, Products!E:E)</f>
        <v>237</v>
      </c>
      <c r="N901" s="6">
        <f t="shared" si="58"/>
        <v>237</v>
      </c>
      <c r="O901" s="8">
        <f t="shared" si="59"/>
        <v>-13817</v>
      </c>
      <c r="Q901" s="8"/>
      <c r="R901" s="8"/>
    </row>
    <row r="902" spans="1:18">
      <c r="A902" s="4">
        <v>100303</v>
      </c>
      <c r="B902" s="1">
        <v>45403</v>
      </c>
      <c r="C902" s="1">
        <v>45301</v>
      </c>
      <c r="D902" t="s">
        <v>218</v>
      </c>
      <c r="E902" t="s">
        <v>180</v>
      </c>
      <c r="F902">
        <v>1</v>
      </c>
      <c r="G902">
        <v>1735</v>
      </c>
      <c r="H902">
        <v>5</v>
      </c>
      <c r="I902" t="s">
        <v>29</v>
      </c>
      <c r="J902" t="s">
        <v>16</v>
      </c>
      <c r="K902" s="6">
        <f t="shared" si="56"/>
        <v>1735</v>
      </c>
      <c r="L902" s="6">
        <f t="shared" si="57"/>
        <v>-6940</v>
      </c>
      <c r="M902" s="6">
        <f>_xlfn.XLOOKUP(E902, Products!A:A, Products!E:E)</f>
        <v>81</v>
      </c>
      <c r="N902" s="6">
        <f t="shared" si="58"/>
        <v>81</v>
      </c>
      <c r="O902" s="8">
        <f t="shared" si="59"/>
        <v>-7021</v>
      </c>
      <c r="Q902" s="8"/>
      <c r="R902" s="8"/>
    </row>
    <row r="903" spans="1:18">
      <c r="A903" s="4">
        <v>100109</v>
      </c>
      <c r="B903" s="1">
        <v>45401</v>
      </c>
      <c r="C903" s="1">
        <v>45296</v>
      </c>
      <c r="D903" t="s">
        <v>151</v>
      </c>
      <c r="E903" t="s">
        <v>176</v>
      </c>
      <c r="F903">
        <v>1</v>
      </c>
      <c r="G903">
        <v>718</v>
      </c>
      <c r="H903">
        <v>10</v>
      </c>
      <c r="I903" t="s">
        <v>29</v>
      </c>
      <c r="J903" t="s">
        <v>22</v>
      </c>
      <c r="K903" s="6">
        <f t="shared" si="56"/>
        <v>718</v>
      </c>
      <c r="L903" s="6">
        <f t="shared" si="57"/>
        <v>-6462</v>
      </c>
      <c r="M903" s="6">
        <f>_xlfn.XLOOKUP(E903, Products!A:A, Products!E:E)</f>
        <v>61</v>
      </c>
      <c r="N903" s="6">
        <f t="shared" si="58"/>
        <v>61</v>
      </c>
      <c r="O903" s="8">
        <f t="shared" si="59"/>
        <v>-6523</v>
      </c>
      <c r="Q903" s="8"/>
      <c r="R903" s="8"/>
    </row>
    <row r="904" spans="1:18">
      <c r="A904" s="4">
        <v>100793</v>
      </c>
      <c r="B904" s="1">
        <v>45401</v>
      </c>
      <c r="C904" s="1">
        <v>45296</v>
      </c>
      <c r="D904" t="s">
        <v>357</v>
      </c>
      <c r="E904" t="s">
        <v>180</v>
      </c>
      <c r="F904">
        <v>1</v>
      </c>
      <c r="G904">
        <v>239</v>
      </c>
      <c r="H904">
        <v>10</v>
      </c>
      <c r="I904" t="s">
        <v>19</v>
      </c>
      <c r="J904" t="s">
        <v>13</v>
      </c>
      <c r="K904" s="6">
        <f t="shared" si="56"/>
        <v>239</v>
      </c>
      <c r="L904" s="6">
        <f t="shared" si="57"/>
        <v>-2151</v>
      </c>
      <c r="M904" s="6">
        <f>_xlfn.XLOOKUP(E904, Products!A:A, Products!E:E)</f>
        <v>81</v>
      </c>
      <c r="N904" s="6">
        <f t="shared" si="58"/>
        <v>81</v>
      </c>
      <c r="O904" s="8">
        <f t="shared" si="59"/>
        <v>-2232</v>
      </c>
      <c r="Q904" s="8"/>
      <c r="R904" s="8"/>
    </row>
    <row r="905" spans="1:18">
      <c r="A905" s="4">
        <v>100585</v>
      </c>
      <c r="B905" s="1">
        <v>45400</v>
      </c>
      <c r="C905" s="1">
        <v>45297</v>
      </c>
      <c r="D905" t="s">
        <v>196</v>
      </c>
      <c r="E905" t="s">
        <v>224</v>
      </c>
      <c r="F905">
        <v>1</v>
      </c>
      <c r="G905">
        <v>1105</v>
      </c>
      <c r="H905">
        <v>15</v>
      </c>
      <c r="I905" t="s">
        <v>19</v>
      </c>
      <c r="J905" t="s">
        <v>22</v>
      </c>
      <c r="K905" s="6">
        <f t="shared" si="56"/>
        <v>1105</v>
      </c>
      <c r="L905" s="6">
        <f t="shared" si="57"/>
        <v>-15470</v>
      </c>
      <c r="M905" s="6">
        <f>_xlfn.XLOOKUP(E905, Products!A:A, Products!E:E)</f>
        <v>118</v>
      </c>
      <c r="N905" s="6">
        <f t="shared" si="58"/>
        <v>118</v>
      </c>
      <c r="O905" s="8">
        <f t="shared" si="59"/>
        <v>-15588</v>
      </c>
      <c r="Q905" s="8"/>
      <c r="R905" s="8"/>
    </row>
    <row r="906" spans="1:18">
      <c r="A906" s="4">
        <v>100655</v>
      </c>
      <c r="B906" s="1">
        <v>45399</v>
      </c>
      <c r="C906" s="1">
        <v>45298</v>
      </c>
      <c r="D906" t="s">
        <v>384</v>
      </c>
      <c r="E906" t="s">
        <v>31</v>
      </c>
      <c r="F906">
        <v>1</v>
      </c>
      <c r="G906">
        <v>1043</v>
      </c>
      <c r="H906">
        <v>0</v>
      </c>
      <c r="I906" t="s">
        <v>12</v>
      </c>
      <c r="J906" t="s">
        <v>22</v>
      </c>
      <c r="K906" s="6">
        <f t="shared" si="56"/>
        <v>1043</v>
      </c>
      <c r="L906" s="6">
        <f t="shared" si="57"/>
        <v>1043</v>
      </c>
      <c r="M906" s="6">
        <f>_xlfn.XLOOKUP(E906, Products!A:A, Products!E:E)</f>
        <v>187</v>
      </c>
      <c r="N906" s="6">
        <f t="shared" si="58"/>
        <v>187</v>
      </c>
      <c r="O906" s="8">
        <f t="shared" si="59"/>
        <v>856</v>
      </c>
      <c r="Q906" s="8"/>
      <c r="R906" s="8"/>
    </row>
    <row r="907" spans="1:18">
      <c r="A907" s="4">
        <v>100116</v>
      </c>
      <c r="B907" s="1">
        <v>45398</v>
      </c>
      <c r="C907" s="1">
        <v>45297</v>
      </c>
      <c r="D907" t="s">
        <v>184</v>
      </c>
      <c r="E907" t="s">
        <v>129</v>
      </c>
      <c r="F907">
        <v>1</v>
      </c>
      <c r="G907">
        <v>1505</v>
      </c>
      <c r="H907">
        <v>15</v>
      </c>
      <c r="I907" t="s">
        <v>19</v>
      </c>
      <c r="J907" t="s">
        <v>13</v>
      </c>
      <c r="K907" s="6">
        <f t="shared" si="56"/>
        <v>1505</v>
      </c>
      <c r="L907" s="6">
        <f t="shared" si="57"/>
        <v>-21070</v>
      </c>
      <c r="M907" s="6">
        <f>_xlfn.XLOOKUP(E907, Products!A:A, Products!E:E)</f>
        <v>171</v>
      </c>
      <c r="N907" s="6">
        <f t="shared" si="58"/>
        <v>171</v>
      </c>
      <c r="O907" s="8">
        <f t="shared" si="59"/>
        <v>-21241</v>
      </c>
      <c r="Q907" s="8"/>
      <c r="R907" s="8"/>
    </row>
    <row r="908" spans="1:18">
      <c r="A908" s="4">
        <v>100922</v>
      </c>
      <c r="B908" s="1">
        <v>45398</v>
      </c>
      <c r="C908" s="1">
        <v>45299</v>
      </c>
      <c r="D908" t="s">
        <v>208</v>
      </c>
      <c r="E908" t="s">
        <v>118</v>
      </c>
      <c r="F908">
        <v>1</v>
      </c>
      <c r="G908">
        <v>657</v>
      </c>
      <c r="H908">
        <v>15</v>
      </c>
      <c r="I908" t="s">
        <v>29</v>
      </c>
      <c r="J908" t="s">
        <v>22</v>
      </c>
      <c r="K908" s="6">
        <f t="shared" si="56"/>
        <v>657</v>
      </c>
      <c r="L908" s="6">
        <f t="shared" si="57"/>
        <v>-9198</v>
      </c>
      <c r="M908" s="6">
        <f>_xlfn.XLOOKUP(E908, Products!A:A, Products!E:E)</f>
        <v>115</v>
      </c>
      <c r="N908" s="6">
        <f t="shared" si="58"/>
        <v>115</v>
      </c>
      <c r="O908" s="8">
        <f t="shared" si="59"/>
        <v>-9313</v>
      </c>
      <c r="Q908" s="8"/>
      <c r="R908" s="8"/>
    </row>
    <row r="909" spans="1:18">
      <c r="A909" s="4">
        <v>100619</v>
      </c>
      <c r="B909" s="1">
        <v>45396</v>
      </c>
      <c r="C909" s="1">
        <v>45297</v>
      </c>
      <c r="D909" t="s">
        <v>67</v>
      </c>
      <c r="E909" t="s">
        <v>170</v>
      </c>
      <c r="F909">
        <v>1</v>
      </c>
      <c r="G909">
        <v>1076</v>
      </c>
      <c r="H909">
        <v>15</v>
      </c>
      <c r="I909" t="s">
        <v>12</v>
      </c>
      <c r="J909" t="s">
        <v>26</v>
      </c>
      <c r="K909" s="6">
        <f t="shared" si="56"/>
        <v>1076</v>
      </c>
      <c r="L909" s="6">
        <f t="shared" si="57"/>
        <v>-15064</v>
      </c>
      <c r="M909" s="6">
        <f>_xlfn.XLOOKUP(E909, Products!A:A, Products!E:E)</f>
        <v>264</v>
      </c>
      <c r="N909" s="6">
        <f t="shared" si="58"/>
        <v>264</v>
      </c>
      <c r="O909" s="8">
        <f t="shared" si="59"/>
        <v>-15328</v>
      </c>
      <c r="Q909" s="8"/>
      <c r="R909" s="8"/>
    </row>
    <row r="910" spans="1:18">
      <c r="A910" s="4">
        <v>100630</v>
      </c>
      <c r="B910" s="1">
        <v>45395</v>
      </c>
      <c r="C910" s="1">
        <v>45300</v>
      </c>
      <c r="D910" t="s">
        <v>327</v>
      </c>
      <c r="E910" t="s">
        <v>118</v>
      </c>
      <c r="F910">
        <v>1</v>
      </c>
      <c r="G910">
        <v>1778</v>
      </c>
      <c r="H910">
        <v>5</v>
      </c>
      <c r="I910" t="s">
        <v>32</v>
      </c>
      <c r="J910" t="s">
        <v>16</v>
      </c>
      <c r="K910" s="6">
        <f t="shared" si="56"/>
        <v>1778</v>
      </c>
      <c r="L910" s="6">
        <f t="shared" si="57"/>
        <v>-7112</v>
      </c>
      <c r="M910" s="6">
        <f>_xlfn.XLOOKUP(E910, Products!A:A, Products!E:E)</f>
        <v>115</v>
      </c>
      <c r="N910" s="6">
        <f t="shared" si="58"/>
        <v>115</v>
      </c>
      <c r="O910" s="8">
        <f t="shared" si="59"/>
        <v>-7227</v>
      </c>
      <c r="Q910" s="8"/>
      <c r="R910" s="8"/>
    </row>
    <row r="911" spans="1:18">
      <c r="A911" s="4">
        <v>100779</v>
      </c>
      <c r="B911" s="1">
        <v>45395</v>
      </c>
      <c r="C911" s="1">
        <v>45301</v>
      </c>
      <c r="D911" t="s">
        <v>327</v>
      </c>
      <c r="E911" t="s">
        <v>85</v>
      </c>
      <c r="F911">
        <v>1</v>
      </c>
      <c r="G911">
        <v>840</v>
      </c>
      <c r="H911">
        <v>10</v>
      </c>
      <c r="I911" t="s">
        <v>19</v>
      </c>
      <c r="J911" t="s">
        <v>16</v>
      </c>
      <c r="K911" s="6">
        <f t="shared" si="56"/>
        <v>840</v>
      </c>
      <c r="L911" s="6">
        <f t="shared" si="57"/>
        <v>-7560</v>
      </c>
      <c r="M911" s="6">
        <f>_xlfn.XLOOKUP(E911, Products!A:A, Products!E:E)</f>
        <v>148</v>
      </c>
      <c r="N911" s="6">
        <f t="shared" si="58"/>
        <v>148</v>
      </c>
      <c r="O911" s="8">
        <f t="shared" si="59"/>
        <v>-7708</v>
      </c>
      <c r="Q911" s="8"/>
      <c r="R911" s="8"/>
    </row>
    <row r="912" spans="1:18">
      <c r="A912" s="4">
        <v>100173</v>
      </c>
      <c r="B912" s="1">
        <v>45394</v>
      </c>
      <c r="C912" s="1">
        <v>45300</v>
      </c>
      <c r="D912" t="s">
        <v>38</v>
      </c>
      <c r="E912" t="s">
        <v>190</v>
      </c>
      <c r="F912">
        <v>1</v>
      </c>
      <c r="G912">
        <v>1111</v>
      </c>
      <c r="H912">
        <v>0</v>
      </c>
      <c r="I912" t="s">
        <v>32</v>
      </c>
      <c r="J912" t="s">
        <v>26</v>
      </c>
      <c r="K912" s="6">
        <f t="shared" si="56"/>
        <v>1111</v>
      </c>
      <c r="L912" s="6">
        <f t="shared" si="57"/>
        <v>1111</v>
      </c>
      <c r="M912" s="6">
        <f>_xlfn.XLOOKUP(E912, Products!A:A, Products!E:E)</f>
        <v>273</v>
      </c>
      <c r="N912" s="6">
        <f t="shared" si="58"/>
        <v>273</v>
      </c>
      <c r="O912" s="8">
        <f t="shared" si="59"/>
        <v>838</v>
      </c>
      <c r="Q912" s="8"/>
      <c r="R912" s="8"/>
    </row>
    <row r="913" spans="1:18">
      <c r="A913" s="4">
        <v>100394</v>
      </c>
      <c r="B913" s="1">
        <v>45393</v>
      </c>
      <c r="C913" s="1">
        <v>45294</v>
      </c>
      <c r="D913" t="s">
        <v>335</v>
      </c>
      <c r="E913" t="s">
        <v>156</v>
      </c>
      <c r="F913">
        <v>1</v>
      </c>
      <c r="G913">
        <v>1369</v>
      </c>
      <c r="H913">
        <v>0</v>
      </c>
      <c r="I913" t="s">
        <v>12</v>
      </c>
      <c r="J913" t="s">
        <v>16</v>
      </c>
      <c r="K913" s="6">
        <f t="shared" si="56"/>
        <v>1369</v>
      </c>
      <c r="L913" s="6">
        <f t="shared" si="57"/>
        <v>1369</v>
      </c>
      <c r="M913" s="6">
        <f>_xlfn.XLOOKUP(E913, Products!A:A, Products!E:E)</f>
        <v>168</v>
      </c>
      <c r="N913" s="6">
        <f t="shared" si="58"/>
        <v>168</v>
      </c>
      <c r="O913" s="8">
        <f t="shared" si="59"/>
        <v>1201</v>
      </c>
      <c r="Q913" s="8"/>
      <c r="R913" s="8"/>
    </row>
    <row r="914" spans="1:18">
      <c r="A914" s="4">
        <v>100047</v>
      </c>
      <c r="B914" s="1">
        <v>45391</v>
      </c>
      <c r="C914" s="1">
        <v>45300</v>
      </c>
      <c r="D914" t="s">
        <v>100</v>
      </c>
      <c r="E914" t="s">
        <v>101</v>
      </c>
      <c r="F914">
        <v>1</v>
      </c>
      <c r="G914">
        <v>1912</v>
      </c>
      <c r="H914">
        <v>10</v>
      </c>
      <c r="I914" t="s">
        <v>32</v>
      </c>
      <c r="J914" t="s">
        <v>26</v>
      </c>
      <c r="K914" s="6">
        <f t="shared" si="56"/>
        <v>1912</v>
      </c>
      <c r="L914" s="6">
        <f t="shared" si="57"/>
        <v>-17208</v>
      </c>
      <c r="M914" s="6">
        <f>_xlfn.XLOOKUP(E914, Products!A:A, Products!E:E)</f>
        <v>126</v>
      </c>
      <c r="N914" s="6">
        <f t="shared" si="58"/>
        <v>126</v>
      </c>
      <c r="O914" s="8">
        <f t="shared" si="59"/>
        <v>-17334</v>
      </c>
      <c r="Q914" s="8"/>
      <c r="R914" s="8"/>
    </row>
    <row r="915" spans="1:18">
      <c r="A915" s="4">
        <v>100613</v>
      </c>
      <c r="B915" s="1">
        <v>45391</v>
      </c>
      <c r="C915" s="1">
        <v>45298</v>
      </c>
      <c r="D915" t="s">
        <v>335</v>
      </c>
      <c r="E915" t="s">
        <v>55</v>
      </c>
      <c r="F915">
        <v>1</v>
      </c>
      <c r="G915">
        <v>590</v>
      </c>
      <c r="H915">
        <v>5</v>
      </c>
      <c r="I915" t="s">
        <v>12</v>
      </c>
      <c r="J915" t="s">
        <v>16</v>
      </c>
      <c r="K915" s="6">
        <f t="shared" si="56"/>
        <v>590</v>
      </c>
      <c r="L915" s="6">
        <f t="shared" si="57"/>
        <v>-2360</v>
      </c>
      <c r="M915" s="6">
        <f>_xlfn.XLOOKUP(E915, Products!A:A, Products!E:E)</f>
        <v>141</v>
      </c>
      <c r="N915" s="6">
        <f t="shared" si="58"/>
        <v>141</v>
      </c>
      <c r="O915" s="8">
        <f t="shared" si="59"/>
        <v>-2501</v>
      </c>
      <c r="Q915" s="8"/>
      <c r="R915" s="8"/>
    </row>
    <row r="916" spans="1:18">
      <c r="A916" s="4">
        <v>100639</v>
      </c>
      <c r="B916" s="1">
        <v>45390</v>
      </c>
      <c r="C916" s="1">
        <v>45297</v>
      </c>
      <c r="D916" t="s">
        <v>378</v>
      </c>
      <c r="E916" t="s">
        <v>69</v>
      </c>
      <c r="F916">
        <v>1</v>
      </c>
      <c r="G916">
        <v>430</v>
      </c>
      <c r="H916">
        <v>15</v>
      </c>
      <c r="I916" t="s">
        <v>12</v>
      </c>
      <c r="J916" t="s">
        <v>26</v>
      </c>
      <c r="K916" s="6">
        <f t="shared" si="56"/>
        <v>430</v>
      </c>
      <c r="L916" s="6">
        <f t="shared" si="57"/>
        <v>-6020</v>
      </c>
      <c r="M916" s="6">
        <f>_xlfn.XLOOKUP(E916, Products!A:A, Products!E:E)</f>
        <v>82</v>
      </c>
      <c r="N916" s="6">
        <f t="shared" si="58"/>
        <v>82</v>
      </c>
      <c r="O916" s="8">
        <f t="shared" si="59"/>
        <v>-6102</v>
      </c>
      <c r="Q916" s="8"/>
      <c r="R916" s="8"/>
    </row>
    <row r="917" spans="1:18">
      <c r="A917" s="4">
        <v>100589</v>
      </c>
      <c r="B917" s="1">
        <v>45389</v>
      </c>
      <c r="C917" s="1">
        <v>45299</v>
      </c>
      <c r="D917" t="s">
        <v>51</v>
      </c>
      <c r="E917" t="s">
        <v>75</v>
      </c>
      <c r="F917">
        <v>1</v>
      </c>
      <c r="G917">
        <v>789</v>
      </c>
      <c r="H917">
        <v>0</v>
      </c>
      <c r="I917" t="s">
        <v>19</v>
      </c>
      <c r="J917" t="s">
        <v>26</v>
      </c>
      <c r="K917" s="6">
        <f t="shared" si="56"/>
        <v>789</v>
      </c>
      <c r="L917" s="6">
        <f t="shared" si="57"/>
        <v>789</v>
      </c>
      <c r="M917" s="6">
        <f>_xlfn.XLOOKUP(E917, Products!A:A, Products!E:E)</f>
        <v>70</v>
      </c>
      <c r="N917" s="6">
        <f t="shared" si="58"/>
        <v>70</v>
      </c>
      <c r="O917" s="8">
        <f t="shared" si="59"/>
        <v>719</v>
      </c>
      <c r="Q917" s="8"/>
      <c r="R917" s="8"/>
    </row>
    <row r="918" spans="1:18">
      <c r="A918" s="4">
        <v>100560</v>
      </c>
      <c r="B918" s="1">
        <v>45389</v>
      </c>
      <c r="C918" s="1">
        <v>45298</v>
      </c>
      <c r="D918" t="s">
        <v>353</v>
      </c>
      <c r="E918" t="s">
        <v>181</v>
      </c>
      <c r="F918">
        <v>1</v>
      </c>
      <c r="G918">
        <v>791</v>
      </c>
      <c r="H918">
        <v>15</v>
      </c>
      <c r="I918" t="s">
        <v>32</v>
      </c>
      <c r="J918" t="s">
        <v>16</v>
      </c>
      <c r="K918" s="6">
        <f t="shared" si="56"/>
        <v>791</v>
      </c>
      <c r="L918" s="6">
        <f t="shared" si="57"/>
        <v>-11074</v>
      </c>
      <c r="M918" s="6">
        <f>_xlfn.XLOOKUP(E918, Products!A:A, Products!E:E)</f>
        <v>72</v>
      </c>
      <c r="N918" s="6">
        <f t="shared" si="58"/>
        <v>72</v>
      </c>
      <c r="O918" s="8">
        <f t="shared" si="59"/>
        <v>-11146</v>
      </c>
      <c r="Q918" s="8"/>
      <c r="R918" s="8"/>
    </row>
    <row r="919" spans="1:18">
      <c r="A919" s="4">
        <v>100534</v>
      </c>
      <c r="B919" s="1">
        <v>45387</v>
      </c>
      <c r="C919" s="1">
        <v>45299</v>
      </c>
      <c r="D919" t="s">
        <v>67</v>
      </c>
      <c r="E919" t="s">
        <v>265</v>
      </c>
      <c r="F919">
        <v>1</v>
      </c>
      <c r="G919">
        <v>1454</v>
      </c>
      <c r="H919">
        <v>15</v>
      </c>
      <c r="I919" t="s">
        <v>29</v>
      </c>
      <c r="J919" t="s">
        <v>26</v>
      </c>
      <c r="K919" s="6">
        <f t="shared" si="56"/>
        <v>1454</v>
      </c>
      <c r="L919" s="6">
        <f t="shared" si="57"/>
        <v>-20356</v>
      </c>
      <c r="M919" s="6">
        <f>_xlfn.XLOOKUP(E919, Products!A:A, Products!E:E)</f>
        <v>218</v>
      </c>
      <c r="N919" s="6">
        <f t="shared" si="58"/>
        <v>218</v>
      </c>
      <c r="O919" s="8">
        <f t="shared" si="59"/>
        <v>-20574</v>
      </c>
      <c r="Q919" s="8"/>
      <c r="R919" s="8"/>
    </row>
    <row r="920" spans="1:18">
      <c r="A920" s="4">
        <v>100564</v>
      </c>
      <c r="B920" s="1">
        <v>45384</v>
      </c>
      <c r="C920" s="1">
        <v>45294</v>
      </c>
      <c r="D920" t="s">
        <v>52</v>
      </c>
      <c r="E920" t="s">
        <v>281</v>
      </c>
      <c r="F920">
        <v>1</v>
      </c>
      <c r="G920">
        <v>1031</v>
      </c>
      <c r="H920">
        <v>5</v>
      </c>
      <c r="I920" t="s">
        <v>29</v>
      </c>
      <c r="J920" t="s">
        <v>13</v>
      </c>
      <c r="K920" s="6">
        <f t="shared" si="56"/>
        <v>1031</v>
      </c>
      <c r="L920" s="6">
        <f t="shared" si="57"/>
        <v>-4124</v>
      </c>
      <c r="M920" s="6">
        <f>_xlfn.XLOOKUP(E920, Products!A:A, Products!E:E)</f>
        <v>117</v>
      </c>
      <c r="N920" s="6">
        <f t="shared" si="58"/>
        <v>117</v>
      </c>
      <c r="O920" s="8">
        <f t="shared" si="59"/>
        <v>-4241</v>
      </c>
      <c r="Q920" s="8"/>
      <c r="R920" s="8"/>
    </row>
    <row r="921" spans="1:18">
      <c r="A921" s="4">
        <v>100284</v>
      </c>
      <c r="B921" s="1">
        <v>45384</v>
      </c>
      <c r="C921" s="1">
        <v>45297</v>
      </c>
      <c r="D921" t="s">
        <v>122</v>
      </c>
      <c r="E921" t="s">
        <v>126</v>
      </c>
      <c r="F921">
        <v>1</v>
      </c>
      <c r="G921">
        <v>346</v>
      </c>
      <c r="H921">
        <v>0</v>
      </c>
      <c r="I921" t="s">
        <v>12</v>
      </c>
      <c r="J921" t="s">
        <v>22</v>
      </c>
      <c r="K921" s="6">
        <f t="shared" si="56"/>
        <v>346</v>
      </c>
      <c r="L921" s="6">
        <f t="shared" si="57"/>
        <v>346</v>
      </c>
      <c r="M921" s="6">
        <f>_xlfn.XLOOKUP(E921, Products!A:A, Products!E:E)</f>
        <v>177</v>
      </c>
      <c r="N921" s="6">
        <f t="shared" si="58"/>
        <v>177</v>
      </c>
      <c r="O921" s="8">
        <f t="shared" si="59"/>
        <v>169</v>
      </c>
      <c r="Q921" s="8"/>
      <c r="R921" s="8"/>
    </row>
    <row r="922" spans="1:18">
      <c r="A922" s="4">
        <v>100327</v>
      </c>
      <c r="B922" s="1">
        <v>45384</v>
      </c>
      <c r="C922" s="1">
        <v>45294</v>
      </c>
      <c r="D922" t="s">
        <v>249</v>
      </c>
      <c r="E922" t="s">
        <v>302</v>
      </c>
      <c r="F922">
        <v>1</v>
      </c>
      <c r="G922">
        <v>1461</v>
      </c>
      <c r="H922">
        <v>10</v>
      </c>
      <c r="I922" t="s">
        <v>29</v>
      </c>
      <c r="J922" t="s">
        <v>16</v>
      </c>
      <c r="K922" s="6">
        <f t="shared" si="56"/>
        <v>1461</v>
      </c>
      <c r="L922" s="6">
        <f t="shared" si="57"/>
        <v>-13149</v>
      </c>
      <c r="M922" s="6">
        <f>_xlfn.XLOOKUP(E922, Products!A:A, Products!E:E)</f>
        <v>175</v>
      </c>
      <c r="N922" s="6">
        <f t="shared" si="58"/>
        <v>175</v>
      </c>
      <c r="O922" s="8">
        <f t="shared" si="59"/>
        <v>-13324</v>
      </c>
      <c r="Q922" s="8"/>
      <c r="R922" s="8"/>
    </row>
    <row r="923" spans="1:18">
      <c r="A923" s="4">
        <v>100769</v>
      </c>
      <c r="B923" s="1">
        <v>45384</v>
      </c>
      <c r="C923" s="1">
        <v>45297</v>
      </c>
      <c r="D923" t="s">
        <v>398</v>
      </c>
      <c r="E923" t="s">
        <v>85</v>
      </c>
      <c r="F923">
        <v>1</v>
      </c>
      <c r="G923">
        <v>798</v>
      </c>
      <c r="H923">
        <v>15</v>
      </c>
      <c r="I923" t="s">
        <v>32</v>
      </c>
      <c r="J923" t="s">
        <v>16</v>
      </c>
      <c r="K923" s="6">
        <f t="shared" si="56"/>
        <v>798</v>
      </c>
      <c r="L923" s="6">
        <f t="shared" si="57"/>
        <v>-11172</v>
      </c>
      <c r="M923" s="6">
        <f>_xlfn.XLOOKUP(E923, Products!A:A, Products!E:E)</f>
        <v>148</v>
      </c>
      <c r="N923" s="6">
        <f t="shared" si="58"/>
        <v>148</v>
      </c>
      <c r="O923" s="8">
        <f t="shared" si="59"/>
        <v>-11320</v>
      </c>
      <c r="Q923" s="8"/>
      <c r="R923" s="8"/>
    </row>
    <row r="924" spans="1:18">
      <c r="A924" s="4">
        <v>100679</v>
      </c>
      <c r="B924" s="1">
        <v>45384</v>
      </c>
      <c r="C924" s="1">
        <v>45300</v>
      </c>
      <c r="D924" t="s">
        <v>366</v>
      </c>
      <c r="E924" t="s">
        <v>139</v>
      </c>
      <c r="F924">
        <v>1</v>
      </c>
      <c r="G924">
        <v>1332</v>
      </c>
      <c r="H924">
        <v>15</v>
      </c>
      <c r="I924" t="s">
        <v>29</v>
      </c>
      <c r="J924" t="s">
        <v>22</v>
      </c>
      <c r="K924" s="6">
        <f t="shared" si="56"/>
        <v>1332</v>
      </c>
      <c r="L924" s="6">
        <f t="shared" si="57"/>
        <v>-18648</v>
      </c>
      <c r="M924" s="6">
        <f>_xlfn.XLOOKUP(E924, Products!A:A, Products!E:E)</f>
        <v>280</v>
      </c>
      <c r="N924" s="6">
        <f t="shared" si="58"/>
        <v>280</v>
      </c>
      <c r="O924" s="8">
        <f t="shared" si="59"/>
        <v>-18928</v>
      </c>
      <c r="Q924" s="8"/>
      <c r="R924" s="8"/>
    </row>
    <row r="925" spans="1:18">
      <c r="A925" s="4">
        <v>100004</v>
      </c>
      <c r="B925" s="1">
        <v>45381</v>
      </c>
      <c r="C925" s="1">
        <v>45302</v>
      </c>
      <c r="D925" t="s">
        <v>23</v>
      </c>
      <c r="E925" t="s">
        <v>24</v>
      </c>
      <c r="F925">
        <v>1</v>
      </c>
      <c r="G925">
        <v>237</v>
      </c>
      <c r="H925">
        <v>0</v>
      </c>
      <c r="I925" t="s">
        <v>19</v>
      </c>
      <c r="J925" t="s">
        <v>13</v>
      </c>
      <c r="K925" s="6">
        <f t="shared" si="56"/>
        <v>237</v>
      </c>
      <c r="L925" s="6">
        <f t="shared" si="57"/>
        <v>237</v>
      </c>
      <c r="M925" s="6">
        <f>_xlfn.XLOOKUP(E925, Products!A:A, Products!E:E)</f>
        <v>105</v>
      </c>
      <c r="N925" s="6">
        <f t="shared" si="58"/>
        <v>105</v>
      </c>
      <c r="O925" s="8">
        <f t="shared" si="59"/>
        <v>132</v>
      </c>
      <c r="Q925" s="8"/>
      <c r="R925" s="8"/>
    </row>
    <row r="926" spans="1:18">
      <c r="A926" s="4">
        <v>100146</v>
      </c>
      <c r="B926" s="1">
        <v>45381</v>
      </c>
      <c r="C926" s="1">
        <v>45301</v>
      </c>
      <c r="D926" t="s">
        <v>213</v>
      </c>
      <c r="E926" t="s">
        <v>139</v>
      </c>
      <c r="F926">
        <v>1</v>
      </c>
      <c r="G926">
        <v>1407</v>
      </c>
      <c r="H926">
        <v>0</v>
      </c>
      <c r="I926" t="s">
        <v>29</v>
      </c>
      <c r="J926" t="s">
        <v>13</v>
      </c>
      <c r="K926" s="6">
        <f t="shared" si="56"/>
        <v>1407</v>
      </c>
      <c r="L926" s="6">
        <f t="shared" si="57"/>
        <v>1407</v>
      </c>
      <c r="M926" s="6">
        <f>_xlfn.XLOOKUP(E926, Products!A:A, Products!E:E)</f>
        <v>280</v>
      </c>
      <c r="N926" s="6">
        <f t="shared" si="58"/>
        <v>280</v>
      </c>
      <c r="O926" s="8">
        <f t="shared" si="59"/>
        <v>1127</v>
      </c>
      <c r="Q926" s="8"/>
      <c r="R926" s="8"/>
    </row>
    <row r="927" spans="1:18">
      <c r="A927" s="4">
        <v>100084</v>
      </c>
      <c r="B927" s="1">
        <v>45381</v>
      </c>
      <c r="C927" s="1">
        <v>45296</v>
      </c>
      <c r="D927" t="s">
        <v>149</v>
      </c>
      <c r="E927" t="s">
        <v>24</v>
      </c>
      <c r="F927">
        <v>1</v>
      </c>
      <c r="G927">
        <v>482</v>
      </c>
      <c r="H927">
        <v>10</v>
      </c>
      <c r="I927" t="s">
        <v>29</v>
      </c>
      <c r="J927" t="s">
        <v>16</v>
      </c>
      <c r="K927" s="6">
        <f t="shared" si="56"/>
        <v>482</v>
      </c>
      <c r="L927" s="6">
        <f t="shared" si="57"/>
        <v>-4338</v>
      </c>
      <c r="M927" s="6">
        <f>_xlfn.XLOOKUP(E927, Products!A:A, Products!E:E)</f>
        <v>105</v>
      </c>
      <c r="N927" s="6">
        <f t="shared" si="58"/>
        <v>105</v>
      </c>
      <c r="O927" s="8">
        <f t="shared" si="59"/>
        <v>-4443</v>
      </c>
      <c r="Q927" s="8"/>
      <c r="R927" s="8"/>
    </row>
    <row r="928" spans="1:18">
      <c r="A928" s="4">
        <v>100737</v>
      </c>
      <c r="B928" s="1">
        <v>45381</v>
      </c>
      <c r="C928" s="1">
        <v>45302</v>
      </c>
      <c r="D928" t="s">
        <v>33</v>
      </c>
      <c r="E928" t="s">
        <v>129</v>
      </c>
      <c r="F928">
        <v>1</v>
      </c>
      <c r="G928">
        <v>1543</v>
      </c>
      <c r="H928">
        <v>0</v>
      </c>
      <c r="I928" t="s">
        <v>29</v>
      </c>
      <c r="J928" t="s">
        <v>22</v>
      </c>
      <c r="K928" s="6">
        <f t="shared" si="56"/>
        <v>1543</v>
      </c>
      <c r="L928" s="6">
        <f t="shared" si="57"/>
        <v>1543</v>
      </c>
      <c r="M928" s="6">
        <f>_xlfn.XLOOKUP(E928, Products!A:A, Products!E:E)</f>
        <v>171</v>
      </c>
      <c r="N928" s="6">
        <f t="shared" si="58"/>
        <v>171</v>
      </c>
      <c r="O928" s="8">
        <f t="shared" si="59"/>
        <v>1372</v>
      </c>
      <c r="Q928" s="8"/>
      <c r="R928" s="8"/>
    </row>
    <row r="929" spans="1:18">
      <c r="A929" s="4">
        <v>100873</v>
      </c>
      <c r="B929" s="1">
        <v>45381</v>
      </c>
      <c r="C929" s="1">
        <v>45294</v>
      </c>
      <c r="D929" t="s">
        <v>253</v>
      </c>
      <c r="E929" t="s">
        <v>103</v>
      </c>
      <c r="F929">
        <v>1</v>
      </c>
      <c r="G929">
        <v>310</v>
      </c>
      <c r="H929">
        <v>0</v>
      </c>
      <c r="I929" t="s">
        <v>29</v>
      </c>
      <c r="J929" t="s">
        <v>22</v>
      </c>
      <c r="K929" s="6">
        <f t="shared" si="56"/>
        <v>310</v>
      </c>
      <c r="L929" s="6">
        <f t="shared" si="57"/>
        <v>310</v>
      </c>
      <c r="M929" s="6">
        <f>_xlfn.XLOOKUP(E929, Products!A:A, Products!E:E)</f>
        <v>185</v>
      </c>
      <c r="N929" s="6">
        <f t="shared" si="58"/>
        <v>185</v>
      </c>
      <c r="O929" s="8">
        <f t="shared" si="59"/>
        <v>125</v>
      </c>
      <c r="Q929" s="8"/>
      <c r="R929" s="8"/>
    </row>
    <row r="930" spans="1:18">
      <c r="A930" s="4">
        <v>100601</v>
      </c>
      <c r="B930" s="1">
        <v>45380</v>
      </c>
      <c r="C930" s="1">
        <v>45298</v>
      </c>
      <c r="D930" t="s">
        <v>231</v>
      </c>
      <c r="E930" t="s">
        <v>83</v>
      </c>
      <c r="F930">
        <v>1</v>
      </c>
      <c r="G930">
        <v>1373</v>
      </c>
      <c r="H930">
        <v>5</v>
      </c>
      <c r="I930" t="s">
        <v>32</v>
      </c>
      <c r="J930" t="s">
        <v>13</v>
      </c>
      <c r="K930" s="6">
        <f t="shared" si="56"/>
        <v>1373</v>
      </c>
      <c r="L930" s="6">
        <f t="shared" si="57"/>
        <v>-5492</v>
      </c>
      <c r="M930" s="6">
        <f>_xlfn.XLOOKUP(E930, Products!A:A, Products!E:E)</f>
        <v>243</v>
      </c>
      <c r="N930" s="6">
        <f t="shared" si="58"/>
        <v>243</v>
      </c>
      <c r="O930" s="8">
        <f t="shared" si="59"/>
        <v>-5735</v>
      </c>
      <c r="Q930" s="8"/>
      <c r="R930" s="8"/>
    </row>
    <row r="931" spans="1:18">
      <c r="A931" s="4">
        <v>100955</v>
      </c>
      <c r="B931" s="1">
        <v>45380</v>
      </c>
      <c r="C931" s="1">
        <v>45299</v>
      </c>
      <c r="D931" t="s">
        <v>169</v>
      </c>
      <c r="E931" t="s">
        <v>46</v>
      </c>
      <c r="F931">
        <v>1</v>
      </c>
      <c r="G931">
        <v>1307</v>
      </c>
      <c r="H931">
        <v>15</v>
      </c>
      <c r="I931" t="s">
        <v>32</v>
      </c>
      <c r="J931" t="s">
        <v>13</v>
      </c>
      <c r="K931" s="6">
        <f t="shared" si="56"/>
        <v>1307</v>
      </c>
      <c r="L931" s="6">
        <f t="shared" si="57"/>
        <v>-18298</v>
      </c>
      <c r="M931" s="6">
        <f>_xlfn.XLOOKUP(E931, Products!A:A, Products!E:E)</f>
        <v>191</v>
      </c>
      <c r="N931" s="6">
        <f t="shared" si="58"/>
        <v>191</v>
      </c>
      <c r="O931" s="8">
        <f t="shared" si="59"/>
        <v>-18489</v>
      </c>
      <c r="Q931" s="8"/>
      <c r="R931" s="8"/>
    </row>
    <row r="932" spans="1:18">
      <c r="A932" s="4">
        <v>100467</v>
      </c>
      <c r="B932" s="1">
        <v>45379</v>
      </c>
      <c r="C932" s="1">
        <v>45298</v>
      </c>
      <c r="D932" t="s">
        <v>163</v>
      </c>
      <c r="E932" t="s">
        <v>126</v>
      </c>
      <c r="F932">
        <v>1</v>
      </c>
      <c r="G932">
        <v>1646</v>
      </c>
      <c r="H932">
        <v>15</v>
      </c>
      <c r="I932" t="s">
        <v>12</v>
      </c>
      <c r="J932" t="s">
        <v>26</v>
      </c>
      <c r="K932" s="6">
        <f t="shared" si="56"/>
        <v>1646</v>
      </c>
      <c r="L932" s="6">
        <f t="shared" si="57"/>
        <v>-23044</v>
      </c>
      <c r="M932" s="6">
        <f>_xlfn.XLOOKUP(E932, Products!A:A, Products!E:E)</f>
        <v>177</v>
      </c>
      <c r="N932" s="6">
        <f t="shared" si="58"/>
        <v>177</v>
      </c>
      <c r="O932" s="8">
        <f t="shared" si="59"/>
        <v>-23221</v>
      </c>
      <c r="Q932" s="8"/>
      <c r="R932" s="8"/>
    </row>
    <row r="933" spans="1:18">
      <c r="A933" s="4">
        <v>100896</v>
      </c>
      <c r="B933" s="1">
        <v>45377</v>
      </c>
      <c r="C933" s="1">
        <v>45297</v>
      </c>
      <c r="D933" t="s">
        <v>264</v>
      </c>
      <c r="E933" t="s">
        <v>298</v>
      </c>
      <c r="F933">
        <v>1</v>
      </c>
      <c r="G933">
        <v>1054</v>
      </c>
      <c r="H933">
        <v>15</v>
      </c>
      <c r="I933" t="s">
        <v>29</v>
      </c>
      <c r="J933" t="s">
        <v>16</v>
      </c>
      <c r="K933" s="6">
        <f t="shared" si="56"/>
        <v>1054</v>
      </c>
      <c r="L933" s="6">
        <f t="shared" si="57"/>
        <v>-14756</v>
      </c>
      <c r="M933" s="6">
        <f>_xlfn.XLOOKUP(E933, Products!A:A, Products!E:E)</f>
        <v>171</v>
      </c>
      <c r="N933" s="6">
        <f t="shared" si="58"/>
        <v>171</v>
      </c>
      <c r="O933" s="8">
        <f t="shared" si="59"/>
        <v>-14927</v>
      </c>
      <c r="Q933" s="8"/>
      <c r="R933" s="8"/>
    </row>
    <row r="934" spans="1:18">
      <c r="A934" s="4">
        <v>100538</v>
      </c>
      <c r="B934" s="1">
        <v>45376</v>
      </c>
      <c r="C934" s="1">
        <v>45297</v>
      </c>
      <c r="D934" t="s">
        <v>354</v>
      </c>
      <c r="E934" t="s">
        <v>176</v>
      </c>
      <c r="F934">
        <v>1</v>
      </c>
      <c r="G934">
        <v>575</v>
      </c>
      <c r="H934">
        <v>10</v>
      </c>
      <c r="I934" t="s">
        <v>19</v>
      </c>
      <c r="J934" t="s">
        <v>26</v>
      </c>
      <c r="K934" s="6">
        <f t="shared" si="56"/>
        <v>575</v>
      </c>
      <c r="L934" s="6">
        <f t="shared" si="57"/>
        <v>-5175</v>
      </c>
      <c r="M934" s="6">
        <f>_xlfn.XLOOKUP(E934, Products!A:A, Products!E:E)</f>
        <v>61</v>
      </c>
      <c r="N934" s="6">
        <f t="shared" si="58"/>
        <v>61</v>
      </c>
      <c r="O934" s="8">
        <f t="shared" si="59"/>
        <v>-5236</v>
      </c>
      <c r="Q934" s="8"/>
      <c r="R934" s="8"/>
    </row>
    <row r="935" spans="1:18">
      <c r="A935" s="4">
        <v>100892</v>
      </c>
      <c r="B935" s="1">
        <v>45376</v>
      </c>
      <c r="C935" s="1">
        <v>45298</v>
      </c>
      <c r="D935" t="s">
        <v>289</v>
      </c>
      <c r="E935" t="s">
        <v>123</v>
      </c>
      <c r="F935">
        <v>1</v>
      </c>
      <c r="G935">
        <v>838</v>
      </c>
      <c r="H935">
        <v>10</v>
      </c>
      <c r="I935" t="s">
        <v>29</v>
      </c>
      <c r="J935" t="s">
        <v>22</v>
      </c>
      <c r="K935" s="6">
        <f t="shared" si="56"/>
        <v>838</v>
      </c>
      <c r="L935" s="6">
        <f t="shared" si="57"/>
        <v>-7542</v>
      </c>
      <c r="M935" s="6">
        <f>_xlfn.XLOOKUP(E935, Products!A:A, Products!E:E)</f>
        <v>154</v>
      </c>
      <c r="N935" s="6">
        <f t="shared" si="58"/>
        <v>154</v>
      </c>
      <c r="O935" s="8">
        <f t="shared" si="59"/>
        <v>-7696</v>
      </c>
      <c r="Q935" s="8"/>
      <c r="R935" s="8"/>
    </row>
    <row r="936" spans="1:18">
      <c r="A936" s="4">
        <v>100809</v>
      </c>
      <c r="B936" s="1">
        <v>45374</v>
      </c>
      <c r="C936" s="1">
        <v>45300</v>
      </c>
      <c r="D936" t="s">
        <v>322</v>
      </c>
      <c r="E936" t="s">
        <v>137</v>
      </c>
      <c r="F936">
        <v>1</v>
      </c>
      <c r="G936">
        <v>337</v>
      </c>
      <c r="H936">
        <v>0</v>
      </c>
      <c r="I936" t="s">
        <v>19</v>
      </c>
      <c r="J936" t="s">
        <v>16</v>
      </c>
      <c r="K936" s="6">
        <f t="shared" si="56"/>
        <v>337</v>
      </c>
      <c r="L936" s="6">
        <f t="shared" si="57"/>
        <v>337</v>
      </c>
      <c r="M936" s="6">
        <f>_xlfn.XLOOKUP(E936, Products!A:A, Products!E:E)</f>
        <v>239</v>
      </c>
      <c r="N936" s="6">
        <f t="shared" si="58"/>
        <v>239</v>
      </c>
      <c r="O936" s="8">
        <f t="shared" si="59"/>
        <v>98</v>
      </c>
      <c r="Q936" s="8"/>
      <c r="R936" s="8"/>
    </row>
    <row r="937" spans="1:18">
      <c r="A937" s="4">
        <v>100000</v>
      </c>
      <c r="B937" s="1">
        <v>45374</v>
      </c>
      <c r="C937" s="1">
        <v>45296</v>
      </c>
      <c r="D937" t="s">
        <v>10</v>
      </c>
      <c r="E937" t="s">
        <v>11</v>
      </c>
      <c r="F937">
        <v>1</v>
      </c>
      <c r="G937">
        <v>297</v>
      </c>
      <c r="H937">
        <v>10</v>
      </c>
      <c r="I937" t="s">
        <v>12</v>
      </c>
      <c r="J937" t="s">
        <v>13</v>
      </c>
      <c r="K937" s="6">
        <f t="shared" si="56"/>
        <v>297</v>
      </c>
      <c r="L937" s="6">
        <f t="shared" si="57"/>
        <v>-2673</v>
      </c>
      <c r="M937" s="6">
        <f>_xlfn.XLOOKUP(E937, Products!A:A, Products!E:E)</f>
        <v>144</v>
      </c>
      <c r="N937" s="6">
        <f t="shared" si="58"/>
        <v>144</v>
      </c>
      <c r="O937" s="8">
        <f t="shared" si="59"/>
        <v>-2817</v>
      </c>
      <c r="Q937" s="8"/>
      <c r="R937" s="8"/>
    </row>
    <row r="938" spans="1:18">
      <c r="A938" s="4">
        <v>100944</v>
      </c>
      <c r="B938" s="1">
        <v>45372</v>
      </c>
      <c r="C938" s="1">
        <v>45296</v>
      </c>
      <c r="D938" t="s">
        <v>378</v>
      </c>
      <c r="E938" t="s">
        <v>165</v>
      </c>
      <c r="F938">
        <v>1</v>
      </c>
      <c r="G938">
        <v>1348</v>
      </c>
      <c r="H938">
        <v>5</v>
      </c>
      <c r="I938" t="s">
        <v>12</v>
      </c>
      <c r="J938" t="s">
        <v>26</v>
      </c>
      <c r="K938" s="6">
        <f t="shared" si="56"/>
        <v>1348</v>
      </c>
      <c r="L938" s="6">
        <f t="shared" si="57"/>
        <v>-5392</v>
      </c>
      <c r="M938" s="6">
        <f>_xlfn.XLOOKUP(E938, Products!A:A, Products!E:E)</f>
        <v>241</v>
      </c>
      <c r="N938" s="6">
        <f t="shared" si="58"/>
        <v>241</v>
      </c>
      <c r="O938" s="8">
        <f t="shared" si="59"/>
        <v>-5633</v>
      </c>
      <c r="Q938" s="8"/>
      <c r="R938" s="8"/>
    </row>
    <row r="939" spans="1:18">
      <c r="A939" s="4">
        <v>100776</v>
      </c>
      <c r="B939" s="1">
        <v>45371</v>
      </c>
      <c r="C939" s="1">
        <v>45295</v>
      </c>
      <c r="D939" t="s">
        <v>326</v>
      </c>
      <c r="E939" t="s">
        <v>367</v>
      </c>
      <c r="F939">
        <v>1</v>
      </c>
      <c r="G939">
        <v>449</v>
      </c>
      <c r="H939">
        <v>0</v>
      </c>
      <c r="I939" t="s">
        <v>32</v>
      </c>
      <c r="J939" t="s">
        <v>16</v>
      </c>
      <c r="K939" s="6">
        <f t="shared" si="56"/>
        <v>449</v>
      </c>
      <c r="L939" s="6">
        <f t="shared" si="57"/>
        <v>449</v>
      </c>
      <c r="M939" s="6">
        <f>_xlfn.XLOOKUP(E939, Products!A:A, Products!E:E)</f>
        <v>158</v>
      </c>
      <c r="N939" s="6">
        <f t="shared" si="58"/>
        <v>158</v>
      </c>
      <c r="O939" s="8">
        <f t="shared" si="59"/>
        <v>291</v>
      </c>
      <c r="Q939" s="8"/>
      <c r="R939" s="8"/>
    </row>
    <row r="940" spans="1:18">
      <c r="A940" s="4">
        <v>100627</v>
      </c>
      <c r="B940" s="1">
        <v>45363</v>
      </c>
      <c r="C940" s="1">
        <v>45300</v>
      </c>
      <c r="D940" t="s">
        <v>168</v>
      </c>
      <c r="E940" t="s">
        <v>85</v>
      </c>
      <c r="F940">
        <v>1</v>
      </c>
      <c r="G940">
        <v>1283</v>
      </c>
      <c r="H940">
        <v>15</v>
      </c>
      <c r="I940" t="s">
        <v>12</v>
      </c>
      <c r="J940" t="s">
        <v>16</v>
      </c>
      <c r="K940" s="6">
        <f t="shared" si="56"/>
        <v>1283</v>
      </c>
      <c r="L940" s="6">
        <f t="shared" si="57"/>
        <v>-17962</v>
      </c>
      <c r="M940" s="6">
        <f>_xlfn.XLOOKUP(E940, Products!A:A, Products!E:E)</f>
        <v>148</v>
      </c>
      <c r="N940" s="6">
        <f t="shared" si="58"/>
        <v>148</v>
      </c>
      <c r="O940" s="8">
        <f t="shared" si="59"/>
        <v>-18110</v>
      </c>
      <c r="Q940" s="8"/>
      <c r="R940" s="8"/>
    </row>
    <row r="941" spans="1:18">
      <c r="A941" s="4">
        <v>100973</v>
      </c>
      <c r="B941" s="1">
        <v>45361</v>
      </c>
      <c r="C941" s="1">
        <v>45297</v>
      </c>
      <c r="D941" t="s">
        <v>147</v>
      </c>
      <c r="E941" t="s">
        <v>68</v>
      </c>
      <c r="F941">
        <v>1</v>
      </c>
      <c r="G941">
        <v>1635</v>
      </c>
      <c r="H941">
        <v>5</v>
      </c>
      <c r="I941" t="s">
        <v>29</v>
      </c>
      <c r="J941" t="s">
        <v>16</v>
      </c>
      <c r="K941" s="6">
        <f t="shared" si="56"/>
        <v>1635</v>
      </c>
      <c r="L941" s="6">
        <f t="shared" si="57"/>
        <v>-6540</v>
      </c>
      <c r="M941" s="6">
        <f>_xlfn.XLOOKUP(E941, Products!A:A, Products!E:E)</f>
        <v>295</v>
      </c>
      <c r="N941" s="6">
        <f t="shared" si="58"/>
        <v>295</v>
      </c>
      <c r="O941" s="8">
        <f t="shared" si="59"/>
        <v>-6835</v>
      </c>
      <c r="Q941" s="8"/>
      <c r="R941" s="8"/>
    </row>
    <row r="942" spans="1:18">
      <c r="A942" s="4">
        <v>100763</v>
      </c>
      <c r="B942" s="1">
        <v>45360</v>
      </c>
      <c r="C942" s="1">
        <v>45300</v>
      </c>
      <c r="D942" t="s">
        <v>216</v>
      </c>
      <c r="E942" t="s">
        <v>73</v>
      </c>
      <c r="F942">
        <v>1</v>
      </c>
      <c r="G942">
        <v>1994</v>
      </c>
      <c r="H942">
        <v>15</v>
      </c>
      <c r="I942" t="s">
        <v>29</v>
      </c>
      <c r="J942" t="s">
        <v>13</v>
      </c>
      <c r="K942" s="6">
        <f t="shared" si="56"/>
        <v>1994</v>
      </c>
      <c r="L942" s="6">
        <f t="shared" si="57"/>
        <v>-27916</v>
      </c>
      <c r="M942" s="6">
        <f>_xlfn.XLOOKUP(E942, Products!A:A, Products!E:E)</f>
        <v>243</v>
      </c>
      <c r="N942" s="6">
        <f t="shared" si="58"/>
        <v>243</v>
      </c>
      <c r="O942" s="8">
        <f t="shared" si="59"/>
        <v>-28159</v>
      </c>
      <c r="Q942" s="8"/>
      <c r="R942" s="8"/>
    </row>
    <row r="943" spans="1:18">
      <c r="A943" s="4">
        <v>100969</v>
      </c>
      <c r="B943" s="1">
        <v>45360</v>
      </c>
      <c r="C943" s="1">
        <v>45299</v>
      </c>
      <c r="D943" t="s">
        <v>202</v>
      </c>
      <c r="E943" t="s">
        <v>112</v>
      </c>
      <c r="F943">
        <v>1</v>
      </c>
      <c r="G943">
        <v>1902</v>
      </c>
      <c r="H943">
        <v>0</v>
      </c>
      <c r="I943" t="s">
        <v>29</v>
      </c>
      <c r="J943" t="s">
        <v>16</v>
      </c>
      <c r="K943" s="6">
        <f t="shared" si="56"/>
        <v>1902</v>
      </c>
      <c r="L943" s="6">
        <f t="shared" si="57"/>
        <v>1902</v>
      </c>
      <c r="M943" s="6">
        <f>_xlfn.XLOOKUP(E943, Products!A:A, Products!E:E)</f>
        <v>72</v>
      </c>
      <c r="N943" s="6">
        <f t="shared" si="58"/>
        <v>72</v>
      </c>
      <c r="O943" s="8">
        <f t="shared" si="59"/>
        <v>1830</v>
      </c>
      <c r="Q943" s="8"/>
      <c r="R943" s="8"/>
    </row>
    <row r="944" spans="1:18">
      <c r="A944" s="4">
        <v>100051</v>
      </c>
      <c r="B944" s="1">
        <v>45360</v>
      </c>
      <c r="C944" s="1">
        <v>45294</v>
      </c>
      <c r="D944" t="s">
        <v>105</v>
      </c>
      <c r="E944" t="s">
        <v>97</v>
      </c>
      <c r="F944">
        <v>1</v>
      </c>
      <c r="G944">
        <v>555</v>
      </c>
      <c r="H944">
        <v>15</v>
      </c>
      <c r="I944" t="s">
        <v>29</v>
      </c>
      <c r="J944" t="s">
        <v>22</v>
      </c>
      <c r="K944" s="6">
        <f t="shared" si="56"/>
        <v>555</v>
      </c>
      <c r="L944" s="6">
        <f t="shared" si="57"/>
        <v>-7770</v>
      </c>
      <c r="M944" s="6">
        <f>_xlfn.XLOOKUP(E944, Products!A:A, Products!E:E)</f>
        <v>229</v>
      </c>
      <c r="N944" s="6">
        <f t="shared" si="58"/>
        <v>229</v>
      </c>
      <c r="O944" s="8">
        <f t="shared" si="59"/>
        <v>-7999</v>
      </c>
      <c r="Q944" s="8"/>
      <c r="R944" s="8"/>
    </row>
    <row r="945" spans="1:18">
      <c r="A945" s="4">
        <v>100512</v>
      </c>
      <c r="B945" s="1">
        <v>45354</v>
      </c>
      <c r="C945" s="1">
        <v>45302</v>
      </c>
      <c r="D945" t="s">
        <v>67</v>
      </c>
      <c r="E945" t="s">
        <v>18</v>
      </c>
      <c r="F945">
        <v>1</v>
      </c>
      <c r="G945">
        <v>1084</v>
      </c>
      <c r="H945">
        <v>0</v>
      </c>
      <c r="I945" t="s">
        <v>32</v>
      </c>
      <c r="J945" t="s">
        <v>22</v>
      </c>
      <c r="K945" s="6">
        <f t="shared" si="56"/>
        <v>1084</v>
      </c>
      <c r="L945" s="6">
        <f t="shared" si="57"/>
        <v>1084</v>
      </c>
      <c r="M945" s="6">
        <f>_xlfn.XLOOKUP(E945, Products!A:A, Products!E:E)</f>
        <v>222</v>
      </c>
      <c r="N945" s="6">
        <f t="shared" si="58"/>
        <v>222</v>
      </c>
      <c r="O945" s="8">
        <f t="shared" si="59"/>
        <v>862</v>
      </c>
      <c r="Q945" s="8"/>
      <c r="R945" s="8"/>
    </row>
    <row r="946" spans="1:18">
      <c r="A946" s="4">
        <v>100429</v>
      </c>
      <c r="B946" s="1">
        <v>45352</v>
      </c>
      <c r="C946" s="1">
        <v>45300</v>
      </c>
      <c r="D946" t="s">
        <v>344</v>
      </c>
      <c r="E946" t="s">
        <v>210</v>
      </c>
      <c r="F946">
        <v>1</v>
      </c>
      <c r="G946">
        <v>661</v>
      </c>
      <c r="H946">
        <v>15</v>
      </c>
      <c r="I946" t="s">
        <v>32</v>
      </c>
      <c r="J946" t="s">
        <v>22</v>
      </c>
      <c r="K946" s="6">
        <f t="shared" si="56"/>
        <v>661</v>
      </c>
      <c r="L946" s="6">
        <f t="shared" si="57"/>
        <v>-9254</v>
      </c>
      <c r="M946" s="6">
        <f>_xlfn.XLOOKUP(E946, Products!A:A, Products!E:E)</f>
        <v>135</v>
      </c>
      <c r="N946" s="6">
        <f t="shared" si="58"/>
        <v>135</v>
      </c>
      <c r="O946" s="8">
        <f t="shared" si="59"/>
        <v>-9389</v>
      </c>
      <c r="Q946" s="8"/>
      <c r="R946" s="8"/>
    </row>
    <row r="947" spans="1:18">
      <c r="A947" s="4">
        <v>100943</v>
      </c>
      <c r="B947" s="1">
        <v>45351</v>
      </c>
      <c r="C947" s="1">
        <v>45302</v>
      </c>
      <c r="D947" t="s">
        <v>70</v>
      </c>
      <c r="E947" t="s">
        <v>217</v>
      </c>
      <c r="F947">
        <v>1</v>
      </c>
      <c r="G947">
        <v>1784</v>
      </c>
      <c r="H947">
        <v>0</v>
      </c>
      <c r="I947" t="s">
        <v>29</v>
      </c>
      <c r="J947" t="s">
        <v>22</v>
      </c>
      <c r="K947" s="6">
        <f t="shared" si="56"/>
        <v>1784</v>
      </c>
      <c r="L947" s="6">
        <f t="shared" si="57"/>
        <v>1784</v>
      </c>
      <c r="M947" s="6">
        <f>_xlfn.XLOOKUP(E947, Products!A:A, Products!E:E)</f>
        <v>223</v>
      </c>
      <c r="N947" s="6">
        <f t="shared" si="58"/>
        <v>223</v>
      </c>
      <c r="O947" s="8">
        <f t="shared" si="59"/>
        <v>1561</v>
      </c>
      <c r="Q947" s="8"/>
      <c r="R947" s="8"/>
    </row>
    <row r="948" spans="1:18">
      <c r="A948" s="4">
        <v>100082</v>
      </c>
      <c r="B948" s="1">
        <v>45350</v>
      </c>
      <c r="C948" s="1">
        <v>45298</v>
      </c>
      <c r="D948" t="s">
        <v>147</v>
      </c>
      <c r="E948" t="s">
        <v>43</v>
      </c>
      <c r="F948">
        <v>1</v>
      </c>
      <c r="G948">
        <v>930</v>
      </c>
      <c r="H948">
        <v>5</v>
      </c>
      <c r="I948" t="s">
        <v>32</v>
      </c>
      <c r="J948" t="s">
        <v>26</v>
      </c>
      <c r="K948" s="6">
        <f t="shared" si="56"/>
        <v>930</v>
      </c>
      <c r="L948" s="6">
        <f t="shared" si="57"/>
        <v>-3720</v>
      </c>
      <c r="M948" s="6">
        <f>_xlfn.XLOOKUP(E948, Products!A:A, Products!E:E)</f>
        <v>228</v>
      </c>
      <c r="N948" s="6">
        <f t="shared" si="58"/>
        <v>228</v>
      </c>
      <c r="O948" s="8">
        <f t="shared" si="59"/>
        <v>-3948</v>
      </c>
      <c r="Q948" s="8"/>
      <c r="R948" s="8"/>
    </row>
    <row r="949" spans="1:18">
      <c r="A949" s="4">
        <v>100839</v>
      </c>
      <c r="B949" s="1">
        <v>45350</v>
      </c>
      <c r="C949" s="1">
        <v>45302</v>
      </c>
      <c r="D949" t="s">
        <v>199</v>
      </c>
      <c r="E949" t="s">
        <v>204</v>
      </c>
      <c r="F949">
        <v>1</v>
      </c>
      <c r="G949">
        <v>534</v>
      </c>
      <c r="H949">
        <v>0</v>
      </c>
      <c r="I949" t="s">
        <v>29</v>
      </c>
      <c r="J949" t="s">
        <v>16</v>
      </c>
      <c r="K949" s="6">
        <f t="shared" si="56"/>
        <v>534</v>
      </c>
      <c r="L949" s="6">
        <f t="shared" si="57"/>
        <v>534</v>
      </c>
      <c r="M949" s="6">
        <f>_xlfn.XLOOKUP(E949, Products!A:A, Products!E:E)</f>
        <v>229</v>
      </c>
      <c r="N949" s="6">
        <f t="shared" si="58"/>
        <v>229</v>
      </c>
      <c r="O949" s="8">
        <f t="shared" si="59"/>
        <v>305</v>
      </c>
      <c r="Q949" s="8"/>
      <c r="R949" s="8"/>
    </row>
    <row r="950" spans="1:18">
      <c r="A950" s="4">
        <v>100768</v>
      </c>
      <c r="B950" s="1">
        <v>45347</v>
      </c>
      <c r="C950" s="1">
        <v>45294</v>
      </c>
      <c r="D950" t="s">
        <v>14</v>
      </c>
      <c r="E950" t="s">
        <v>178</v>
      </c>
      <c r="F950">
        <v>1</v>
      </c>
      <c r="G950">
        <v>629</v>
      </c>
      <c r="H950">
        <v>15</v>
      </c>
      <c r="I950" t="s">
        <v>12</v>
      </c>
      <c r="J950" t="s">
        <v>22</v>
      </c>
      <c r="K950" s="6">
        <f t="shared" si="56"/>
        <v>629</v>
      </c>
      <c r="L950" s="6">
        <f t="shared" si="57"/>
        <v>-8806</v>
      </c>
      <c r="M950" s="6">
        <f>_xlfn.XLOOKUP(E950, Products!A:A, Products!E:E)</f>
        <v>121</v>
      </c>
      <c r="N950" s="6">
        <f t="shared" si="58"/>
        <v>121</v>
      </c>
      <c r="O950" s="8">
        <f t="shared" si="59"/>
        <v>-8927</v>
      </c>
      <c r="Q950" s="8"/>
      <c r="R950" s="8"/>
    </row>
    <row r="951" spans="1:18">
      <c r="A951" s="4">
        <v>100059</v>
      </c>
      <c r="B951" s="1">
        <v>45347</v>
      </c>
      <c r="C951" s="1">
        <v>45295</v>
      </c>
      <c r="D951" t="s">
        <v>117</v>
      </c>
      <c r="E951" t="s">
        <v>118</v>
      </c>
      <c r="F951">
        <v>1</v>
      </c>
      <c r="G951">
        <v>410</v>
      </c>
      <c r="H951">
        <v>0</v>
      </c>
      <c r="I951" t="s">
        <v>12</v>
      </c>
      <c r="J951" t="s">
        <v>22</v>
      </c>
      <c r="K951" s="6">
        <f t="shared" si="56"/>
        <v>410</v>
      </c>
      <c r="L951" s="6">
        <f t="shared" si="57"/>
        <v>410</v>
      </c>
      <c r="M951" s="6">
        <f>_xlfn.XLOOKUP(E951, Products!A:A, Products!E:E)</f>
        <v>115</v>
      </c>
      <c r="N951" s="6">
        <f t="shared" si="58"/>
        <v>115</v>
      </c>
      <c r="O951" s="8">
        <f t="shared" si="59"/>
        <v>295</v>
      </c>
      <c r="Q951" s="8"/>
      <c r="R951" s="8"/>
    </row>
    <row r="952" spans="1:18">
      <c r="A952" s="4">
        <v>100788</v>
      </c>
      <c r="B952" s="1">
        <v>45345</v>
      </c>
      <c r="C952" s="1">
        <v>45300</v>
      </c>
      <c r="D952" t="s">
        <v>81</v>
      </c>
      <c r="E952" t="s">
        <v>176</v>
      </c>
      <c r="F952">
        <v>1</v>
      </c>
      <c r="G952">
        <v>480</v>
      </c>
      <c r="H952">
        <v>0</v>
      </c>
      <c r="I952" t="s">
        <v>19</v>
      </c>
      <c r="J952" t="s">
        <v>26</v>
      </c>
      <c r="K952" s="6">
        <f t="shared" si="56"/>
        <v>480</v>
      </c>
      <c r="L952" s="6">
        <f t="shared" si="57"/>
        <v>480</v>
      </c>
      <c r="M952" s="6">
        <f>_xlfn.XLOOKUP(E952, Products!A:A, Products!E:E)</f>
        <v>61</v>
      </c>
      <c r="N952" s="6">
        <f t="shared" si="58"/>
        <v>61</v>
      </c>
      <c r="O952" s="8">
        <f t="shared" si="59"/>
        <v>419</v>
      </c>
      <c r="Q952" s="8"/>
      <c r="R952" s="8"/>
    </row>
    <row r="953" spans="1:18">
      <c r="A953" s="4">
        <v>100273</v>
      </c>
      <c r="B953" s="1">
        <v>45345</v>
      </c>
      <c r="C953" s="1">
        <v>45296</v>
      </c>
      <c r="D953" t="s">
        <v>285</v>
      </c>
      <c r="E953" t="s">
        <v>144</v>
      </c>
      <c r="F953">
        <v>1</v>
      </c>
      <c r="G953">
        <v>1550</v>
      </c>
      <c r="H953">
        <v>5</v>
      </c>
      <c r="I953" t="s">
        <v>32</v>
      </c>
      <c r="J953" t="s">
        <v>22</v>
      </c>
      <c r="K953" s="6">
        <f t="shared" si="56"/>
        <v>1550</v>
      </c>
      <c r="L953" s="6">
        <f t="shared" si="57"/>
        <v>-6200</v>
      </c>
      <c r="M953" s="6">
        <f>_xlfn.XLOOKUP(E953, Products!A:A, Products!E:E)</f>
        <v>247</v>
      </c>
      <c r="N953" s="6">
        <f t="shared" si="58"/>
        <v>247</v>
      </c>
      <c r="O953" s="8">
        <f t="shared" si="59"/>
        <v>-6447</v>
      </c>
      <c r="Q953" s="8"/>
      <c r="R953" s="8"/>
    </row>
    <row r="954" spans="1:18">
      <c r="A954" s="4">
        <v>100814</v>
      </c>
      <c r="B954" s="1">
        <v>45344</v>
      </c>
      <c r="C954" s="1">
        <v>45299</v>
      </c>
      <c r="D954" t="s">
        <v>379</v>
      </c>
      <c r="E954" t="s">
        <v>187</v>
      </c>
      <c r="F954">
        <v>1</v>
      </c>
      <c r="G954">
        <v>380</v>
      </c>
      <c r="H954">
        <v>10</v>
      </c>
      <c r="I954" t="s">
        <v>32</v>
      </c>
      <c r="J954" t="s">
        <v>26</v>
      </c>
      <c r="K954" s="6">
        <f t="shared" si="56"/>
        <v>380</v>
      </c>
      <c r="L954" s="6">
        <f t="shared" si="57"/>
        <v>-3420</v>
      </c>
      <c r="M954" s="6">
        <f>_xlfn.XLOOKUP(E954, Products!A:A, Products!E:E)</f>
        <v>68</v>
      </c>
      <c r="N954" s="6">
        <f t="shared" si="58"/>
        <v>68</v>
      </c>
      <c r="O954" s="8">
        <f t="shared" si="59"/>
        <v>-3488</v>
      </c>
      <c r="Q954" s="8"/>
      <c r="R954" s="8"/>
    </row>
    <row r="955" spans="1:18">
      <c r="A955" s="4">
        <v>100276</v>
      </c>
      <c r="B955" s="1">
        <v>45342</v>
      </c>
      <c r="C955" s="1">
        <v>45299</v>
      </c>
      <c r="D955" t="s">
        <v>140</v>
      </c>
      <c r="E955" t="s">
        <v>83</v>
      </c>
      <c r="F955">
        <v>1</v>
      </c>
      <c r="G955">
        <v>706</v>
      </c>
      <c r="H955">
        <v>0</v>
      </c>
      <c r="I955" t="s">
        <v>19</v>
      </c>
      <c r="J955" t="s">
        <v>13</v>
      </c>
      <c r="K955" s="6">
        <f t="shared" si="56"/>
        <v>706</v>
      </c>
      <c r="L955" s="6">
        <f t="shared" si="57"/>
        <v>706</v>
      </c>
      <c r="M955" s="6">
        <f>_xlfn.XLOOKUP(E955, Products!A:A, Products!E:E)</f>
        <v>243</v>
      </c>
      <c r="N955" s="6">
        <f t="shared" si="58"/>
        <v>243</v>
      </c>
      <c r="O955" s="8">
        <f t="shared" si="59"/>
        <v>463</v>
      </c>
      <c r="Q955" s="8"/>
      <c r="R955" s="8"/>
    </row>
    <row r="956" spans="1:18">
      <c r="A956" s="4">
        <v>100021</v>
      </c>
      <c r="B956" s="1">
        <v>45341</v>
      </c>
      <c r="C956" s="1">
        <v>45301</v>
      </c>
      <c r="D956" t="s">
        <v>54</v>
      </c>
      <c r="E956" t="s">
        <v>55</v>
      </c>
      <c r="F956">
        <v>1</v>
      </c>
      <c r="G956">
        <v>387</v>
      </c>
      <c r="H956">
        <v>0</v>
      </c>
      <c r="I956" t="s">
        <v>19</v>
      </c>
      <c r="J956" t="s">
        <v>16</v>
      </c>
      <c r="K956" s="6">
        <f t="shared" si="56"/>
        <v>387</v>
      </c>
      <c r="L956" s="6">
        <f t="shared" si="57"/>
        <v>387</v>
      </c>
      <c r="M956" s="6">
        <f>_xlfn.XLOOKUP(E956, Products!A:A, Products!E:E)</f>
        <v>141</v>
      </c>
      <c r="N956" s="6">
        <f t="shared" si="58"/>
        <v>141</v>
      </c>
      <c r="O956" s="8">
        <f t="shared" si="59"/>
        <v>246</v>
      </c>
      <c r="Q956" s="8"/>
      <c r="R956" s="8"/>
    </row>
    <row r="957" spans="1:18">
      <c r="A957" s="4">
        <v>100034</v>
      </c>
      <c r="B957" s="1">
        <v>45341</v>
      </c>
      <c r="C957" s="1">
        <v>45302</v>
      </c>
      <c r="D957" t="s">
        <v>76</v>
      </c>
      <c r="E957" t="s">
        <v>77</v>
      </c>
      <c r="F957">
        <v>1</v>
      </c>
      <c r="G957">
        <v>487</v>
      </c>
      <c r="H957">
        <v>15</v>
      </c>
      <c r="I957" t="s">
        <v>19</v>
      </c>
      <c r="J957" t="s">
        <v>26</v>
      </c>
      <c r="K957" s="6">
        <f t="shared" si="56"/>
        <v>487</v>
      </c>
      <c r="L957" s="6">
        <f t="shared" si="57"/>
        <v>-6818</v>
      </c>
      <c r="M957" s="6">
        <f>_xlfn.XLOOKUP(E957, Products!A:A, Products!E:E)</f>
        <v>94</v>
      </c>
      <c r="N957" s="6">
        <f t="shared" si="58"/>
        <v>94</v>
      </c>
      <c r="O957" s="8">
        <f t="shared" si="59"/>
        <v>-6912</v>
      </c>
      <c r="Q957" s="8"/>
      <c r="R957" s="8"/>
    </row>
    <row r="958" spans="1:18">
      <c r="A958" s="4">
        <v>100311</v>
      </c>
      <c r="B958" s="1">
        <v>45341</v>
      </c>
      <c r="C958" s="1">
        <v>45295</v>
      </c>
      <c r="D958" t="s">
        <v>287</v>
      </c>
      <c r="E958" t="s">
        <v>197</v>
      </c>
      <c r="F958">
        <v>1</v>
      </c>
      <c r="G958">
        <v>770</v>
      </c>
      <c r="H958">
        <v>10</v>
      </c>
      <c r="I958" t="s">
        <v>32</v>
      </c>
      <c r="J958" t="s">
        <v>13</v>
      </c>
      <c r="K958" s="6">
        <f t="shared" si="56"/>
        <v>770</v>
      </c>
      <c r="L958" s="6">
        <f t="shared" si="57"/>
        <v>-6930</v>
      </c>
      <c r="M958" s="6">
        <f>_xlfn.XLOOKUP(E958, Products!A:A, Products!E:E)</f>
        <v>236</v>
      </c>
      <c r="N958" s="6">
        <f t="shared" si="58"/>
        <v>236</v>
      </c>
      <c r="O958" s="8">
        <f t="shared" si="59"/>
        <v>-7166</v>
      </c>
      <c r="Q958" s="8"/>
      <c r="R958" s="8"/>
    </row>
    <row r="959" spans="1:18">
      <c r="A959" s="4">
        <v>100336</v>
      </c>
      <c r="B959" s="1">
        <v>45338</v>
      </c>
      <c r="C959" s="1">
        <v>45301</v>
      </c>
      <c r="D959" t="s">
        <v>205</v>
      </c>
      <c r="E959" t="s">
        <v>83</v>
      </c>
      <c r="F959">
        <v>1</v>
      </c>
      <c r="G959">
        <v>584</v>
      </c>
      <c r="H959">
        <v>0</v>
      </c>
      <c r="I959" t="s">
        <v>12</v>
      </c>
      <c r="J959" t="s">
        <v>22</v>
      </c>
      <c r="K959" s="6">
        <f t="shared" si="56"/>
        <v>584</v>
      </c>
      <c r="L959" s="6">
        <f t="shared" si="57"/>
        <v>584</v>
      </c>
      <c r="M959" s="6">
        <f>_xlfn.XLOOKUP(E959, Products!A:A, Products!E:E)</f>
        <v>243</v>
      </c>
      <c r="N959" s="6">
        <f t="shared" si="58"/>
        <v>243</v>
      </c>
      <c r="O959" s="8">
        <f t="shared" si="59"/>
        <v>341</v>
      </c>
      <c r="Q959" s="8"/>
      <c r="R959" s="8"/>
    </row>
    <row r="960" spans="1:18">
      <c r="A960" s="4">
        <v>100253</v>
      </c>
      <c r="B960" s="1">
        <v>45338</v>
      </c>
      <c r="C960" s="1">
        <v>45298</v>
      </c>
      <c r="D960" t="s">
        <v>74</v>
      </c>
      <c r="E960" t="s">
        <v>152</v>
      </c>
      <c r="F960">
        <v>1</v>
      </c>
      <c r="G960">
        <v>1916</v>
      </c>
      <c r="H960">
        <v>15</v>
      </c>
      <c r="I960" t="s">
        <v>32</v>
      </c>
      <c r="J960" t="s">
        <v>13</v>
      </c>
      <c r="K960" s="6">
        <f t="shared" si="56"/>
        <v>1916</v>
      </c>
      <c r="L960" s="6">
        <f t="shared" si="57"/>
        <v>-26824</v>
      </c>
      <c r="M960" s="6">
        <f>_xlfn.XLOOKUP(E960, Products!A:A, Products!E:E)</f>
        <v>272</v>
      </c>
      <c r="N960" s="6">
        <f t="shared" si="58"/>
        <v>272</v>
      </c>
      <c r="O960" s="8">
        <f t="shared" si="59"/>
        <v>-27096</v>
      </c>
      <c r="Q960" s="8"/>
      <c r="R960" s="8"/>
    </row>
    <row r="961" spans="1:18">
      <c r="A961" s="4">
        <v>100825</v>
      </c>
      <c r="B961" s="1">
        <v>45336</v>
      </c>
      <c r="C961" s="1">
        <v>45295</v>
      </c>
      <c r="D961" t="s">
        <v>154</v>
      </c>
      <c r="E961" t="s">
        <v>238</v>
      </c>
      <c r="F961">
        <v>1</v>
      </c>
      <c r="G961">
        <v>555</v>
      </c>
      <c r="H961">
        <v>15</v>
      </c>
      <c r="I961" t="s">
        <v>12</v>
      </c>
      <c r="J961" t="s">
        <v>13</v>
      </c>
      <c r="K961" s="6">
        <f t="shared" si="56"/>
        <v>555</v>
      </c>
      <c r="L961" s="6">
        <f t="shared" si="57"/>
        <v>-7770</v>
      </c>
      <c r="M961" s="6">
        <f>_xlfn.XLOOKUP(E961, Products!A:A, Products!E:E)</f>
        <v>265</v>
      </c>
      <c r="N961" s="6">
        <f t="shared" si="58"/>
        <v>265</v>
      </c>
      <c r="O961" s="8">
        <f t="shared" si="59"/>
        <v>-8035</v>
      </c>
      <c r="Q961" s="8"/>
      <c r="R961" s="8"/>
    </row>
    <row r="962" spans="1:18">
      <c r="A962" s="4">
        <v>100520</v>
      </c>
      <c r="B962" s="1">
        <v>45336</v>
      </c>
      <c r="C962" s="1">
        <v>45295</v>
      </c>
      <c r="D962" t="s">
        <v>283</v>
      </c>
      <c r="E962" t="s">
        <v>99</v>
      </c>
      <c r="F962">
        <v>1</v>
      </c>
      <c r="G962">
        <v>1468</v>
      </c>
      <c r="H962">
        <v>15</v>
      </c>
      <c r="I962" t="s">
        <v>29</v>
      </c>
      <c r="J962" t="s">
        <v>13</v>
      </c>
      <c r="K962" s="6">
        <f t="shared" ref="K962:K1001" si="60">F962*G962</f>
        <v>1468</v>
      </c>
      <c r="L962" s="6">
        <f t="shared" si="57"/>
        <v>-20552</v>
      </c>
      <c r="M962" s="6">
        <f>_xlfn.XLOOKUP(E962, Products!A:A, Products!E:E)</f>
        <v>145</v>
      </c>
      <c r="N962" s="6">
        <f t="shared" si="58"/>
        <v>145</v>
      </c>
      <c r="O962" s="8">
        <f t="shared" si="59"/>
        <v>-20697</v>
      </c>
      <c r="Q962" s="8"/>
      <c r="R962" s="8"/>
    </row>
    <row r="963" spans="1:18">
      <c r="A963" s="4">
        <v>100358</v>
      </c>
      <c r="B963" s="1">
        <v>45331</v>
      </c>
      <c r="C963" s="1">
        <v>45302</v>
      </c>
      <c r="D963" t="s">
        <v>323</v>
      </c>
      <c r="E963" t="s">
        <v>129</v>
      </c>
      <c r="F963">
        <v>1</v>
      </c>
      <c r="G963">
        <v>1316</v>
      </c>
      <c r="H963">
        <v>5</v>
      </c>
      <c r="I963" t="s">
        <v>32</v>
      </c>
      <c r="J963" t="s">
        <v>16</v>
      </c>
      <c r="K963" s="6">
        <f t="shared" si="60"/>
        <v>1316</v>
      </c>
      <c r="L963" s="6">
        <f t="shared" ref="L963:L1001" si="61">F963*G963*(1-H963)</f>
        <v>-5264</v>
      </c>
      <c r="M963" s="6">
        <f>_xlfn.XLOOKUP(E963, Products!A:A, Products!E:E)</f>
        <v>171</v>
      </c>
      <c r="N963" s="6">
        <f t="shared" ref="N963:N1001" si="62">F963*M963</f>
        <v>171</v>
      </c>
      <c r="O963" s="8">
        <f t="shared" ref="O963:O1001" si="63">L963-N963</f>
        <v>-5435</v>
      </c>
      <c r="Q963" s="8"/>
      <c r="R963" s="8"/>
    </row>
    <row r="964" spans="1:18">
      <c r="A964" s="4">
        <v>100891</v>
      </c>
      <c r="B964" s="1">
        <v>45330</v>
      </c>
      <c r="C964" s="1">
        <v>45298</v>
      </c>
      <c r="D964" t="s">
        <v>58</v>
      </c>
      <c r="E964" t="s">
        <v>108</v>
      </c>
      <c r="F964">
        <v>1</v>
      </c>
      <c r="G964">
        <v>261</v>
      </c>
      <c r="H964">
        <v>10</v>
      </c>
      <c r="I964" t="s">
        <v>32</v>
      </c>
      <c r="J964" t="s">
        <v>13</v>
      </c>
      <c r="K964" s="6">
        <f t="shared" si="60"/>
        <v>261</v>
      </c>
      <c r="L964" s="6">
        <f t="shared" si="61"/>
        <v>-2349</v>
      </c>
      <c r="M964" s="6">
        <f>_xlfn.XLOOKUP(E964, Products!A:A, Products!E:E)</f>
        <v>237</v>
      </c>
      <c r="N964" s="6">
        <f t="shared" si="62"/>
        <v>237</v>
      </c>
      <c r="O964" s="8">
        <f t="shared" si="63"/>
        <v>-2586</v>
      </c>
      <c r="Q964" s="8"/>
      <c r="R964" s="8"/>
    </row>
    <row r="965" spans="1:18">
      <c r="A965" s="4">
        <v>100805</v>
      </c>
      <c r="B965" s="1">
        <v>45329</v>
      </c>
      <c r="C965" s="1">
        <v>45301</v>
      </c>
      <c r="D965" t="s">
        <v>299</v>
      </c>
      <c r="E965" t="s">
        <v>201</v>
      </c>
      <c r="F965">
        <v>1</v>
      </c>
      <c r="G965">
        <v>1858</v>
      </c>
      <c r="H965">
        <v>5</v>
      </c>
      <c r="I965" t="s">
        <v>19</v>
      </c>
      <c r="J965" t="s">
        <v>13</v>
      </c>
      <c r="K965" s="6">
        <f t="shared" si="60"/>
        <v>1858</v>
      </c>
      <c r="L965" s="6">
        <f t="shared" si="61"/>
        <v>-7432</v>
      </c>
      <c r="M965" s="6">
        <f>_xlfn.XLOOKUP(E965, Products!A:A, Products!E:E)</f>
        <v>123</v>
      </c>
      <c r="N965" s="6">
        <f t="shared" si="62"/>
        <v>123</v>
      </c>
      <c r="O965" s="8">
        <f t="shared" si="63"/>
        <v>-7555</v>
      </c>
      <c r="Q965" s="8"/>
      <c r="R965" s="8"/>
    </row>
    <row r="966" spans="1:18">
      <c r="A966" s="4">
        <v>100008</v>
      </c>
      <c r="B966" s="1">
        <v>45329</v>
      </c>
      <c r="C966" s="1">
        <v>45299</v>
      </c>
      <c r="D966" t="s">
        <v>33</v>
      </c>
      <c r="E966" t="s">
        <v>34</v>
      </c>
      <c r="F966">
        <v>1</v>
      </c>
      <c r="G966">
        <v>789</v>
      </c>
      <c r="H966">
        <v>0</v>
      </c>
      <c r="I966" t="s">
        <v>32</v>
      </c>
      <c r="J966" t="s">
        <v>26</v>
      </c>
      <c r="K966" s="6">
        <f t="shared" si="60"/>
        <v>789</v>
      </c>
      <c r="L966" s="6">
        <f t="shared" si="61"/>
        <v>789</v>
      </c>
      <c r="M966" s="6">
        <f>_xlfn.XLOOKUP(E966, Products!A:A, Products!E:E)</f>
        <v>187</v>
      </c>
      <c r="N966" s="6">
        <f t="shared" si="62"/>
        <v>187</v>
      </c>
      <c r="O966" s="8">
        <f t="shared" si="63"/>
        <v>602</v>
      </c>
      <c r="Q966" s="8"/>
      <c r="R966" s="8"/>
    </row>
    <row r="967" spans="1:18">
      <c r="A967" s="4">
        <v>100849</v>
      </c>
      <c r="B967" s="1">
        <v>45329</v>
      </c>
      <c r="C967" s="1">
        <v>45302</v>
      </c>
      <c r="D967" t="s">
        <v>347</v>
      </c>
      <c r="E967" t="s">
        <v>164</v>
      </c>
      <c r="F967">
        <v>1</v>
      </c>
      <c r="G967">
        <v>1822</v>
      </c>
      <c r="H967">
        <v>0</v>
      </c>
      <c r="I967" t="s">
        <v>12</v>
      </c>
      <c r="J967" t="s">
        <v>26</v>
      </c>
      <c r="K967" s="6">
        <f t="shared" si="60"/>
        <v>1822</v>
      </c>
      <c r="L967" s="6">
        <f t="shared" si="61"/>
        <v>1822</v>
      </c>
      <c r="M967" s="6">
        <f>_xlfn.XLOOKUP(E967, Products!A:A, Products!E:E)</f>
        <v>156</v>
      </c>
      <c r="N967" s="6">
        <f t="shared" si="62"/>
        <v>156</v>
      </c>
      <c r="O967" s="8">
        <f t="shared" si="63"/>
        <v>1666</v>
      </c>
      <c r="Q967" s="8"/>
      <c r="R967" s="8"/>
    </row>
    <row r="968" spans="1:18">
      <c r="A968" s="4">
        <v>100592</v>
      </c>
      <c r="B968" s="1">
        <v>45328</v>
      </c>
      <c r="C968" s="1">
        <v>45301</v>
      </c>
      <c r="D968" t="s">
        <v>277</v>
      </c>
      <c r="E968" t="s">
        <v>281</v>
      </c>
      <c r="F968">
        <v>1</v>
      </c>
      <c r="G968">
        <v>358</v>
      </c>
      <c r="H968">
        <v>5</v>
      </c>
      <c r="I968" t="s">
        <v>32</v>
      </c>
      <c r="J968" t="s">
        <v>26</v>
      </c>
      <c r="K968" s="6">
        <f t="shared" si="60"/>
        <v>358</v>
      </c>
      <c r="L968" s="6">
        <f t="shared" si="61"/>
        <v>-1432</v>
      </c>
      <c r="M968" s="6">
        <f>_xlfn.XLOOKUP(E968, Products!A:A, Products!E:E)</f>
        <v>117</v>
      </c>
      <c r="N968" s="6">
        <f t="shared" si="62"/>
        <v>117</v>
      </c>
      <c r="O968" s="8">
        <f t="shared" si="63"/>
        <v>-1549</v>
      </c>
      <c r="Q968" s="8"/>
      <c r="R968" s="8"/>
    </row>
    <row r="969" spans="1:18">
      <c r="A969" s="4">
        <v>100165</v>
      </c>
      <c r="B969" s="1">
        <v>45326</v>
      </c>
      <c r="C969" s="1">
        <v>45297</v>
      </c>
      <c r="D969" t="s">
        <v>146</v>
      </c>
      <c r="E969" t="s">
        <v>156</v>
      </c>
      <c r="F969">
        <v>1</v>
      </c>
      <c r="G969">
        <v>1495</v>
      </c>
      <c r="H969">
        <v>0</v>
      </c>
      <c r="I969" t="s">
        <v>29</v>
      </c>
      <c r="J969" t="s">
        <v>22</v>
      </c>
      <c r="K969" s="6">
        <f t="shared" si="60"/>
        <v>1495</v>
      </c>
      <c r="L969" s="6">
        <f t="shared" si="61"/>
        <v>1495</v>
      </c>
      <c r="M969" s="6">
        <f>_xlfn.XLOOKUP(E969, Products!A:A, Products!E:E)</f>
        <v>168</v>
      </c>
      <c r="N969" s="6">
        <f t="shared" si="62"/>
        <v>168</v>
      </c>
      <c r="O969" s="8">
        <f t="shared" si="63"/>
        <v>1327</v>
      </c>
      <c r="Q969" s="8"/>
      <c r="R969" s="8"/>
    </row>
    <row r="970" spans="1:18">
      <c r="A970" s="4">
        <v>100634</v>
      </c>
      <c r="B970" s="1">
        <v>45325</v>
      </c>
      <c r="C970" s="1">
        <v>45300</v>
      </c>
      <c r="D970" t="s">
        <v>320</v>
      </c>
      <c r="E970" t="s">
        <v>134</v>
      </c>
      <c r="F970">
        <v>1</v>
      </c>
      <c r="G970">
        <v>1016</v>
      </c>
      <c r="H970">
        <v>0</v>
      </c>
      <c r="I970" t="s">
        <v>29</v>
      </c>
      <c r="J970" t="s">
        <v>22</v>
      </c>
      <c r="K970" s="6">
        <f t="shared" si="60"/>
        <v>1016</v>
      </c>
      <c r="L970" s="6">
        <f t="shared" si="61"/>
        <v>1016</v>
      </c>
      <c r="M970" s="6">
        <f>_xlfn.XLOOKUP(E970, Products!A:A, Products!E:E)</f>
        <v>179</v>
      </c>
      <c r="N970" s="6">
        <f t="shared" si="62"/>
        <v>179</v>
      </c>
      <c r="O970" s="8">
        <f t="shared" si="63"/>
        <v>837</v>
      </c>
      <c r="Q970" s="8"/>
      <c r="R970" s="8"/>
    </row>
    <row r="971" spans="1:18">
      <c r="A971" s="4">
        <v>100835</v>
      </c>
      <c r="B971" s="1">
        <v>45324</v>
      </c>
      <c r="C971" s="1">
        <v>45299</v>
      </c>
      <c r="D971" t="s">
        <v>168</v>
      </c>
      <c r="E971" t="s">
        <v>156</v>
      </c>
      <c r="F971">
        <v>1</v>
      </c>
      <c r="G971">
        <v>465</v>
      </c>
      <c r="H971">
        <v>15</v>
      </c>
      <c r="I971" t="s">
        <v>32</v>
      </c>
      <c r="J971" t="s">
        <v>16</v>
      </c>
      <c r="K971" s="6">
        <f t="shared" si="60"/>
        <v>465</v>
      </c>
      <c r="L971" s="6">
        <f t="shared" si="61"/>
        <v>-6510</v>
      </c>
      <c r="M971" s="6">
        <f>_xlfn.XLOOKUP(E971, Products!A:A, Products!E:E)</f>
        <v>168</v>
      </c>
      <c r="N971" s="6">
        <f t="shared" si="62"/>
        <v>168</v>
      </c>
      <c r="O971" s="8">
        <f t="shared" si="63"/>
        <v>-6678</v>
      </c>
      <c r="Q971" s="8"/>
      <c r="R971" s="8"/>
    </row>
    <row r="972" spans="1:18">
      <c r="A972" s="4">
        <v>100834</v>
      </c>
      <c r="B972" s="1">
        <v>45323</v>
      </c>
      <c r="C972" s="1">
        <v>45296</v>
      </c>
      <c r="D972" t="s">
        <v>106</v>
      </c>
      <c r="E972" t="s">
        <v>53</v>
      </c>
      <c r="F972">
        <v>1</v>
      </c>
      <c r="G972">
        <v>665</v>
      </c>
      <c r="H972">
        <v>10</v>
      </c>
      <c r="I972" t="s">
        <v>32</v>
      </c>
      <c r="J972" t="s">
        <v>26</v>
      </c>
      <c r="K972" s="6">
        <f t="shared" si="60"/>
        <v>665</v>
      </c>
      <c r="L972" s="6">
        <f t="shared" si="61"/>
        <v>-5985</v>
      </c>
      <c r="M972" s="6">
        <f>_xlfn.XLOOKUP(E972, Products!A:A, Products!E:E)</f>
        <v>140</v>
      </c>
      <c r="N972" s="6">
        <f t="shared" si="62"/>
        <v>140</v>
      </c>
      <c r="O972" s="8">
        <f t="shared" si="63"/>
        <v>-6125</v>
      </c>
      <c r="Q972" s="8"/>
      <c r="R972" s="8"/>
    </row>
    <row r="973" spans="1:18">
      <c r="A973" s="4">
        <v>100463</v>
      </c>
      <c r="B973" s="1">
        <v>45322</v>
      </c>
      <c r="C973" s="1">
        <v>45298</v>
      </c>
      <c r="D973" t="s">
        <v>354</v>
      </c>
      <c r="E973" t="s">
        <v>242</v>
      </c>
      <c r="F973">
        <v>1</v>
      </c>
      <c r="G973">
        <v>1830</v>
      </c>
      <c r="H973">
        <v>10</v>
      </c>
      <c r="I973" t="s">
        <v>12</v>
      </c>
      <c r="J973" t="s">
        <v>22</v>
      </c>
      <c r="K973" s="6">
        <f t="shared" si="60"/>
        <v>1830</v>
      </c>
      <c r="L973" s="6">
        <f t="shared" si="61"/>
        <v>-16470</v>
      </c>
      <c r="M973" s="6">
        <f>_xlfn.XLOOKUP(E973, Products!A:A, Products!E:E)</f>
        <v>140</v>
      </c>
      <c r="N973" s="6">
        <f t="shared" si="62"/>
        <v>140</v>
      </c>
      <c r="O973" s="8">
        <f t="shared" si="63"/>
        <v>-16610</v>
      </c>
      <c r="Q973" s="8"/>
      <c r="R973" s="8"/>
    </row>
    <row r="974" spans="1:18">
      <c r="A974" s="4">
        <v>100191</v>
      </c>
      <c r="B974" s="1">
        <v>45322</v>
      </c>
      <c r="C974" s="1">
        <v>45295</v>
      </c>
      <c r="D974" t="s">
        <v>239</v>
      </c>
      <c r="E974" t="s">
        <v>15</v>
      </c>
      <c r="F974">
        <v>1</v>
      </c>
      <c r="G974">
        <v>1255</v>
      </c>
      <c r="H974">
        <v>5</v>
      </c>
      <c r="I974" t="s">
        <v>29</v>
      </c>
      <c r="J974" t="s">
        <v>16</v>
      </c>
      <c r="K974" s="6">
        <f t="shared" si="60"/>
        <v>1255</v>
      </c>
      <c r="L974" s="6">
        <f t="shared" si="61"/>
        <v>-5020</v>
      </c>
      <c r="M974" s="6">
        <f>_xlfn.XLOOKUP(E974, Products!A:A, Products!E:E)</f>
        <v>242</v>
      </c>
      <c r="N974" s="6">
        <f t="shared" si="62"/>
        <v>242</v>
      </c>
      <c r="O974" s="8">
        <f t="shared" si="63"/>
        <v>-5262</v>
      </c>
      <c r="Q974" s="8"/>
      <c r="R974" s="8"/>
    </row>
    <row r="975" spans="1:18">
      <c r="A975" s="4">
        <v>100965</v>
      </c>
      <c r="B975" s="1">
        <v>45320</v>
      </c>
      <c r="C975" s="1">
        <v>45300</v>
      </c>
      <c r="D975" t="s">
        <v>79</v>
      </c>
      <c r="E975" t="s">
        <v>209</v>
      </c>
      <c r="F975">
        <v>1</v>
      </c>
      <c r="G975">
        <v>904</v>
      </c>
      <c r="H975">
        <v>10</v>
      </c>
      <c r="I975" t="s">
        <v>32</v>
      </c>
      <c r="J975" t="s">
        <v>16</v>
      </c>
      <c r="K975" s="6">
        <f t="shared" si="60"/>
        <v>904</v>
      </c>
      <c r="L975" s="6">
        <f t="shared" si="61"/>
        <v>-8136</v>
      </c>
      <c r="M975" s="6">
        <f>_xlfn.XLOOKUP(E975, Products!A:A, Products!E:E)</f>
        <v>53</v>
      </c>
      <c r="N975" s="6">
        <f t="shared" si="62"/>
        <v>53</v>
      </c>
      <c r="O975" s="8">
        <f t="shared" si="63"/>
        <v>-8189</v>
      </c>
      <c r="Q975" s="8"/>
      <c r="R975" s="8"/>
    </row>
    <row r="976" spans="1:18">
      <c r="A976" s="4">
        <v>100365</v>
      </c>
      <c r="B976" s="1">
        <v>45319</v>
      </c>
      <c r="C976" s="1">
        <v>45302</v>
      </c>
      <c r="D976" t="s">
        <v>316</v>
      </c>
      <c r="E976" t="s">
        <v>180</v>
      </c>
      <c r="F976">
        <v>1</v>
      </c>
      <c r="G976">
        <v>648</v>
      </c>
      <c r="H976">
        <v>10</v>
      </c>
      <c r="I976" t="s">
        <v>29</v>
      </c>
      <c r="J976" t="s">
        <v>16</v>
      </c>
      <c r="K976" s="6">
        <f t="shared" si="60"/>
        <v>648</v>
      </c>
      <c r="L976" s="6">
        <f t="shared" si="61"/>
        <v>-5832</v>
      </c>
      <c r="M976" s="6">
        <f>_xlfn.XLOOKUP(E976, Products!A:A, Products!E:E)</f>
        <v>81</v>
      </c>
      <c r="N976" s="6">
        <f t="shared" si="62"/>
        <v>81</v>
      </c>
      <c r="O976" s="8">
        <f t="shared" si="63"/>
        <v>-5913</v>
      </c>
      <c r="Q976" s="8"/>
      <c r="R976" s="8"/>
    </row>
    <row r="977" spans="1:18">
      <c r="A977" s="4">
        <v>100648</v>
      </c>
      <c r="B977" s="1">
        <v>45317</v>
      </c>
      <c r="C977" s="1">
        <v>45295</v>
      </c>
      <c r="D977" t="s">
        <v>280</v>
      </c>
      <c r="E977" t="s">
        <v>138</v>
      </c>
      <c r="F977">
        <v>1</v>
      </c>
      <c r="G977">
        <v>1979</v>
      </c>
      <c r="H977">
        <v>0</v>
      </c>
      <c r="I977" t="s">
        <v>12</v>
      </c>
      <c r="J977" t="s">
        <v>22</v>
      </c>
      <c r="K977" s="6">
        <f t="shared" si="60"/>
        <v>1979</v>
      </c>
      <c r="L977" s="6">
        <f t="shared" si="61"/>
        <v>1979</v>
      </c>
      <c r="M977" s="6">
        <f>_xlfn.XLOOKUP(E977, Products!A:A, Products!E:E)</f>
        <v>186</v>
      </c>
      <c r="N977" s="6">
        <f t="shared" si="62"/>
        <v>186</v>
      </c>
      <c r="O977" s="8">
        <f t="shared" si="63"/>
        <v>1793</v>
      </c>
      <c r="Q977" s="8"/>
      <c r="R977" s="8"/>
    </row>
    <row r="978" spans="1:18">
      <c r="A978" s="4">
        <v>100711</v>
      </c>
      <c r="B978" s="1">
        <v>45316</v>
      </c>
      <c r="C978" s="1">
        <v>45300</v>
      </c>
      <c r="D978" t="s">
        <v>172</v>
      </c>
      <c r="E978" t="s">
        <v>59</v>
      </c>
      <c r="F978">
        <v>1</v>
      </c>
      <c r="G978">
        <v>1460</v>
      </c>
      <c r="H978">
        <v>15</v>
      </c>
      <c r="I978" t="s">
        <v>12</v>
      </c>
      <c r="J978" t="s">
        <v>13</v>
      </c>
      <c r="K978" s="6">
        <f t="shared" si="60"/>
        <v>1460</v>
      </c>
      <c r="L978" s="6">
        <f t="shared" si="61"/>
        <v>-20440</v>
      </c>
      <c r="M978" s="6">
        <f>_xlfn.XLOOKUP(E978, Products!A:A, Products!E:E)</f>
        <v>116</v>
      </c>
      <c r="N978" s="6">
        <f t="shared" si="62"/>
        <v>116</v>
      </c>
      <c r="O978" s="8">
        <f t="shared" si="63"/>
        <v>-20556</v>
      </c>
      <c r="Q978" s="8"/>
      <c r="R978" s="8"/>
    </row>
    <row r="979" spans="1:18">
      <c r="A979" s="4">
        <v>100171</v>
      </c>
      <c r="B979" s="1">
        <v>45316</v>
      </c>
      <c r="C979" s="1">
        <v>45299</v>
      </c>
      <c r="D979" t="s">
        <v>225</v>
      </c>
      <c r="E979" t="s">
        <v>99</v>
      </c>
      <c r="F979">
        <v>1</v>
      </c>
      <c r="G979">
        <v>1823</v>
      </c>
      <c r="H979">
        <v>0</v>
      </c>
      <c r="I979" t="s">
        <v>19</v>
      </c>
      <c r="J979" t="s">
        <v>26</v>
      </c>
      <c r="K979" s="6">
        <f t="shared" si="60"/>
        <v>1823</v>
      </c>
      <c r="L979" s="6">
        <f t="shared" si="61"/>
        <v>1823</v>
      </c>
      <c r="M979" s="6">
        <f>_xlfn.XLOOKUP(E979, Products!A:A, Products!E:E)</f>
        <v>145</v>
      </c>
      <c r="N979" s="6">
        <f t="shared" si="62"/>
        <v>145</v>
      </c>
      <c r="O979" s="8">
        <f t="shared" si="63"/>
        <v>1678</v>
      </c>
      <c r="Q979" s="8"/>
      <c r="R979" s="8"/>
    </row>
    <row r="980" spans="1:18">
      <c r="A980" s="4">
        <v>100226</v>
      </c>
      <c r="B980" s="1">
        <v>45315</v>
      </c>
      <c r="C980" s="1">
        <v>45295</v>
      </c>
      <c r="D980" t="s">
        <v>258</v>
      </c>
      <c r="E980" t="s">
        <v>75</v>
      </c>
      <c r="F980">
        <v>1</v>
      </c>
      <c r="G980">
        <v>1927</v>
      </c>
      <c r="H980">
        <v>15</v>
      </c>
      <c r="I980" t="s">
        <v>29</v>
      </c>
      <c r="J980" t="s">
        <v>16</v>
      </c>
      <c r="K980" s="6">
        <f t="shared" si="60"/>
        <v>1927</v>
      </c>
      <c r="L980" s="6">
        <f t="shared" si="61"/>
        <v>-26978</v>
      </c>
      <c r="M980" s="6">
        <f>_xlfn.XLOOKUP(E980, Products!A:A, Products!E:E)</f>
        <v>70</v>
      </c>
      <c r="N980" s="6">
        <f t="shared" si="62"/>
        <v>70</v>
      </c>
      <c r="O980" s="8">
        <f t="shared" si="63"/>
        <v>-27048</v>
      </c>
      <c r="Q980" s="8"/>
      <c r="R980" s="8"/>
    </row>
    <row r="981" spans="1:18">
      <c r="A981" s="4">
        <v>100628</v>
      </c>
      <c r="B981" s="1">
        <v>45314</v>
      </c>
      <c r="C981" s="1">
        <v>45300</v>
      </c>
      <c r="D981" t="s">
        <v>375</v>
      </c>
      <c r="E981" t="s">
        <v>71</v>
      </c>
      <c r="F981">
        <v>1</v>
      </c>
      <c r="G981">
        <v>1701</v>
      </c>
      <c r="H981">
        <v>15</v>
      </c>
      <c r="I981" t="s">
        <v>29</v>
      </c>
      <c r="J981" t="s">
        <v>22</v>
      </c>
      <c r="K981" s="6">
        <f t="shared" si="60"/>
        <v>1701</v>
      </c>
      <c r="L981" s="6">
        <f t="shared" si="61"/>
        <v>-23814</v>
      </c>
      <c r="M981" s="6">
        <f>_xlfn.XLOOKUP(E981, Products!A:A, Products!E:E)</f>
        <v>126</v>
      </c>
      <c r="N981" s="6">
        <f t="shared" si="62"/>
        <v>126</v>
      </c>
      <c r="O981" s="8">
        <f t="shared" si="63"/>
        <v>-23940</v>
      </c>
      <c r="Q981" s="8"/>
      <c r="R981" s="8"/>
    </row>
    <row r="982" spans="1:18">
      <c r="A982" s="4">
        <v>100736</v>
      </c>
      <c r="B982" s="1">
        <v>45314</v>
      </c>
      <c r="C982" s="1">
        <v>45299</v>
      </c>
      <c r="D982" t="s">
        <v>337</v>
      </c>
      <c r="E982" t="s">
        <v>164</v>
      </c>
      <c r="F982">
        <v>1</v>
      </c>
      <c r="G982">
        <v>934</v>
      </c>
      <c r="H982">
        <v>15</v>
      </c>
      <c r="I982" t="s">
        <v>32</v>
      </c>
      <c r="J982" t="s">
        <v>13</v>
      </c>
      <c r="K982" s="6">
        <f t="shared" si="60"/>
        <v>934</v>
      </c>
      <c r="L982" s="6">
        <f t="shared" si="61"/>
        <v>-13076</v>
      </c>
      <c r="M982" s="6">
        <f>_xlfn.XLOOKUP(E982, Products!A:A, Products!E:E)</f>
        <v>156</v>
      </c>
      <c r="N982" s="6">
        <f t="shared" si="62"/>
        <v>156</v>
      </c>
      <c r="O982" s="8">
        <f t="shared" si="63"/>
        <v>-13232</v>
      </c>
      <c r="Q982" s="8"/>
      <c r="R982" s="8"/>
    </row>
    <row r="983" spans="1:18">
      <c r="A983" s="4">
        <v>100455</v>
      </c>
      <c r="B983" s="1">
        <v>45314</v>
      </c>
      <c r="C983" s="1">
        <v>45294</v>
      </c>
      <c r="D983" t="s">
        <v>266</v>
      </c>
      <c r="E983" t="s">
        <v>144</v>
      </c>
      <c r="F983">
        <v>1</v>
      </c>
      <c r="G983">
        <v>341</v>
      </c>
      <c r="H983">
        <v>5</v>
      </c>
      <c r="I983" t="s">
        <v>12</v>
      </c>
      <c r="J983" t="s">
        <v>22</v>
      </c>
      <c r="K983" s="6">
        <f t="shared" si="60"/>
        <v>341</v>
      </c>
      <c r="L983" s="6">
        <f t="shared" si="61"/>
        <v>-1364</v>
      </c>
      <c r="M983" s="6">
        <f>_xlfn.XLOOKUP(E983, Products!A:A, Products!E:E)</f>
        <v>247</v>
      </c>
      <c r="N983" s="6">
        <f t="shared" si="62"/>
        <v>247</v>
      </c>
      <c r="O983" s="8">
        <f t="shared" si="63"/>
        <v>-1611</v>
      </c>
      <c r="Q983" s="8"/>
      <c r="R983" s="8"/>
    </row>
    <row r="984" spans="1:18">
      <c r="A984" s="4">
        <v>100435</v>
      </c>
      <c r="B984" s="1">
        <v>45313</v>
      </c>
      <c r="C984" s="1">
        <v>45295</v>
      </c>
      <c r="D984" t="s">
        <v>312</v>
      </c>
      <c r="E984" t="s">
        <v>77</v>
      </c>
      <c r="F984">
        <v>1</v>
      </c>
      <c r="G984">
        <v>1422</v>
      </c>
      <c r="H984">
        <v>10</v>
      </c>
      <c r="I984" t="s">
        <v>32</v>
      </c>
      <c r="J984" t="s">
        <v>26</v>
      </c>
      <c r="K984" s="6">
        <f t="shared" si="60"/>
        <v>1422</v>
      </c>
      <c r="L984" s="6">
        <f t="shared" si="61"/>
        <v>-12798</v>
      </c>
      <c r="M984" s="6">
        <f>_xlfn.XLOOKUP(E984, Products!A:A, Products!E:E)</f>
        <v>94</v>
      </c>
      <c r="N984" s="6">
        <f t="shared" si="62"/>
        <v>94</v>
      </c>
      <c r="O984" s="8">
        <f t="shared" si="63"/>
        <v>-12892</v>
      </c>
      <c r="Q984" s="8"/>
      <c r="R984" s="8"/>
    </row>
    <row r="985" spans="1:18">
      <c r="A985" s="4">
        <v>100666</v>
      </c>
      <c r="B985" s="1">
        <v>45313</v>
      </c>
      <c r="C985" s="1">
        <v>45296</v>
      </c>
      <c r="D985" t="s">
        <v>49</v>
      </c>
      <c r="E985" t="s">
        <v>28</v>
      </c>
      <c r="F985">
        <v>1</v>
      </c>
      <c r="G985">
        <v>692</v>
      </c>
      <c r="H985">
        <v>0</v>
      </c>
      <c r="I985" t="s">
        <v>32</v>
      </c>
      <c r="J985" t="s">
        <v>26</v>
      </c>
      <c r="K985" s="6">
        <f t="shared" si="60"/>
        <v>692</v>
      </c>
      <c r="L985" s="6">
        <f t="shared" si="61"/>
        <v>692</v>
      </c>
      <c r="M985" s="6">
        <f>_xlfn.XLOOKUP(E985, Products!A:A, Products!E:E)</f>
        <v>160</v>
      </c>
      <c r="N985" s="6">
        <f t="shared" si="62"/>
        <v>160</v>
      </c>
      <c r="O985" s="8">
        <f t="shared" si="63"/>
        <v>532</v>
      </c>
      <c r="Q985" s="8"/>
      <c r="R985" s="8"/>
    </row>
    <row r="986" spans="1:18">
      <c r="A986" s="4">
        <v>100926</v>
      </c>
      <c r="B986" s="1">
        <v>45313</v>
      </c>
      <c r="C986" s="1">
        <v>45297</v>
      </c>
      <c r="D986" t="s">
        <v>230</v>
      </c>
      <c r="E986" t="s">
        <v>183</v>
      </c>
      <c r="F986">
        <v>1</v>
      </c>
      <c r="G986">
        <v>1836</v>
      </c>
      <c r="H986">
        <v>15</v>
      </c>
      <c r="I986" t="s">
        <v>19</v>
      </c>
      <c r="J986" t="s">
        <v>26</v>
      </c>
      <c r="K986" s="6">
        <f t="shared" si="60"/>
        <v>1836</v>
      </c>
      <c r="L986" s="6">
        <f t="shared" si="61"/>
        <v>-25704</v>
      </c>
      <c r="M986" s="6">
        <f>_xlfn.XLOOKUP(E986, Products!A:A, Products!E:E)</f>
        <v>55</v>
      </c>
      <c r="N986" s="6">
        <f t="shared" si="62"/>
        <v>55</v>
      </c>
      <c r="O986" s="8">
        <f t="shared" si="63"/>
        <v>-25759</v>
      </c>
      <c r="Q986" s="8"/>
      <c r="R986" s="8"/>
    </row>
    <row r="987" spans="1:18">
      <c r="A987" s="4">
        <v>100485</v>
      </c>
      <c r="B987" s="1">
        <v>45312</v>
      </c>
      <c r="C987" s="1">
        <v>45301</v>
      </c>
      <c r="D987" t="s">
        <v>205</v>
      </c>
      <c r="E987" t="s">
        <v>85</v>
      </c>
      <c r="F987">
        <v>1</v>
      </c>
      <c r="G987">
        <v>1934</v>
      </c>
      <c r="H987">
        <v>15</v>
      </c>
      <c r="I987" t="s">
        <v>12</v>
      </c>
      <c r="J987" t="s">
        <v>26</v>
      </c>
      <c r="K987" s="6">
        <f t="shared" si="60"/>
        <v>1934</v>
      </c>
      <c r="L987" s="6">
        <f t="shared" si="61"/>
        <v>-27076</v>
      </c>
      <c r="M987" s="6">
        <f>_xlfn.XLOOKUP(E987, Products!A:A, Products!E:E)</f>
        <v>148</v>
      </c>
      <c r="N987" s="6">
        <f t="shared" si="62"/>
        <v>148</v>
      </c>
      <c r="O987" s="8">
        <f t="shared" si="63"/>
        <v>-27224</v>
      </c>
      <c r="Q987" s="8"/>
      <c r="R987" s="8"/>
    </row>
    <row r="988" spans="1:18">
      <c r="A988" s="4">
        <v>100562</v>
      </c>
      <c r="B988" s="1">
        <v>45312</v>
      </c>
      <c r="C988" s="1">
        <v>45296</v>
      </c>
      <c r="D988" t="s">
        <v>106</v>
      </c>
      <c r="E988" t="s">
        <v>103</v>
      </c>
      <c r="F988">
        <v>1</v>
      </c>
      <c r="G988">
        <v>1513</v>
      </c>
      <c r="H988">
        <v>10</v>
      </c>
      <c r="I988" t="s">
        <v>19</v>
      </c>
      <c r="J988" t="s">
        <v>13</v>
      </c>
      <c r="K988" s="6">
        <f t="shared" si="60"/>
        <v>1513</v>
      </c>
      <c r="L988" s="6">
        <f t="shared" si="61"/>
        <v>-13617</v>
      </c>
      <c r="M988" s="6">
        <f>_xlfn.XLOOKUP(E988, Products!A:A, Products!E:E)</f>
        <v>185</v>
      </c>
      <c r="N988" s="6">
        <f t="shared" si="62"/>
        <v>185</v>
      </c>
      <c r="O988" s="8">
        <f t="shared" si="63"/>
        <v>-13802</v>
      </c>
      <c r="Q988" s="8"/>
      <c r="R988" s="8"/>
    </row>
    <row r="989" spans="1:18">
      <c r="A989" s="4">
        <v>100486</v>
      </c>
      <c r="B989" s="1">
        <v>45311</v>
      </c>
      <c r="C989" s="1">
        <v>45297</v>
      </c>
      <c r="D989" t="s">
        <v>359</v>
      </c>
      <c r="E989" t="s">
        <v>85</v>
      </c>
      <c r="F989">
        <v>1</v>
      </c>
      <c r="G989">
        <v>1277</v>
      </c>
      <c r="H989">
        <v>5</v>
      </c>
      <c r="I989" t="s">
        <v>29</v>
      </c>
      <c r="J989" t="s">
        <v>22</v>
      </c>
      <c r="K989" s="6">
        <f t="shared" si="60"/>
        <v>1277</v>
      </c>
      <c r="L989" s="6">
        <f t="shared" si="61"/>
        <v>-5108</v>
      </c>
      <c r="M989" s="6">
        <f>_xlfn.XLOOKUP(E989, Products!A:A, Products!E:E)</f>
        <v>148</v>
      </c>
      <c r="N989" s="6">
        <f t="shared" si="62"/>
        <v>148</v>
      </c>
      <c r="O989" s="8">
        <f t="shared" si="63"/>
        <v>-5256</v>
      </c>
      <c r="Q989" s="8"/>
      <c r="R989" s="8"/>
    </row>
    <row r="990" spans="1:18">
      <c r="A990" s="4">
        <v>100131</v>
      </c>
      <c r="B990" s="1">
        <v>45310</v>
      </c>
      <c r="C990" s="1">
        <v>45302</v>
      </c>
      <c r="D990" t="s">
        <v>160</v>
      </c>
      <c r="E990" t="s">
        <v>95</v>
      </c>
      <c r="F990">
        <v>1</v>
      </c>
      <c r="G990">
        <v>770</v>
      </c>
      <c r="H990">
        <v>5</v>
      </c>
      <c r="I990" t="s">
        <v>19</v>
      </c>
      <c r="J990" t="s">
        <v>16</v>
      </c>
      <c r="K990" s="6">
        <f t="shared" si="60"/>
        <v>770</v>
      </c>
      <c r="L990" s="6">
        <f t="shared" si="61"/>
        <v>-3080</v>
      </c>
      <c r="M990" s="6">
        <f>_xlfn.XLOOKUP(E990, Products!A:A, Products!E:E)</f>
        <v>113</v>
      </c>
      <c r="N990" s="6">
        <f t="shared" si="62"/>
        <v>113</v>
      </c>
      <c r="O990" s="8">
        <f t="shared" si="63"/>
        <v>-3193</v>
      </c>
      <c r="Q990" s="8"/>
      <c r="R990" s="8"/>
    </row>
    <row r="991" spans="1:18">
      <c r="A991" s="4">
        <v>100728</v>
      </c>
      <c r="B991" s="1">
        <v>45309</v>
      </c>
      <c r="C991" s="1">
        <v>45300</v>
      </c>
      <c r="D991" t="s">
        <v>332</v>
      </c>
      <c r="E991" t="s">
        <v>187</v>
      </c>
      <c r="F991">
        <v>1</v>
      </c>
      <c r="G991">
        <v>837</v>
      </c>
      <c r="H991">
        <v>5</v>
      </c>
      <c r="I991" t="s">
        <v>29</v>
      </c>
      <c r="J991" t="s">
        <v>22</v>
      </c>
      <c r="K991" s="6">
        <f t="shared" si="60"/>
        <v>837</v>
      </c>
      <c r="L991" s="6">
        <f t="shared" si="61"/>
        <v>-3348</v>
      </c>
      <c r="M991" s="6">
        <f>_xlfn.XLOOKUP(E991, Products!A:A, Products!E:E)</f>
        <v>68</v>
      </c>
      <c r="N991" s="6">
        <f t="shared" si="62"/>
        <v>68</v>
      </c>
      <c r="O991" s="8">
        <f t="shared" si="63"/>
        <v>-3416</v>
      </c>
      <c r="Q991" s="8"/>
      <c r="R991" s="8"/>
    </row>
    <row r="992" spans="1:18">
      <c r="A992" s="4">
        <v>100448</v>
      </c>
      <c r="B992" s="1">
        <v>45307</v>
      </c>
      <c r="C992" s="1">
        <v>45300</v>
      </c>
      <c r="D992" t="s">
        <v>277</v>
      </c>
      <c r="E992" t="s">
        <v>18</v>
      </c>
      <c r="F992">
        <v>1</v>
      </c>
      <c r="G992">
        <v>1043</v>
      </c>
      <c r="H992">
        <v>10</v>
      </c>
      <c r="I992" t="s">
        <v>19</v>
      </c>
      <c r="J992" t="s">
        <v>13</v>
      </c>
      <c r="K992" s="6">
        <f t="shared" si="60"/>
        <v>1043</v>
      </c>
      <c r="L992" s="6">
        <f t="shared" si="61"/>
        <v>-9387</v>
      </c>
      <c r="M992" s="6">
        <f>_xlfn.XLOOKUP(E992, Products!A:A, Products!E:E)</f>
        <v>222</v>
      </c>
      <c r="N992" s="6">
        <f t="shared" si="62"/>
        <v>222</v>
      </c>
      <c r="O992" s="8">
        <f t="shared" si="63"/>
        <v>-9609</v>
      </c>
      <c r="Q992" s="8"/>
      <c r="R992" s="8"/>
    </row>
    <row r="993" spans="1:18">
      <c r="A993" s="4">
        <v>100126</v>
      </c>
      <c r="B993" s="1">
        <v>45305</v>
      </c>
      <c r="C993" s="1">
        <v>45300</v>
      </c>
      <c r="D993" t="s">
        <v>104</v>
      </c>
      <c r="E993" t="s">
        <v>152</v>
      </c>
      <c r="F993">
        <v>1</v>
      </c>
      <c r="G993">
        <v>718</v>
      </c>
      <c r="H993">
        <v>0</v>
      </c>
      <c r="I993" t="s">
        <v>19</v>
      </c>
      <c r="J993" t="s">
        <v>26</v>
      </c>
      <c r="K993" s="6">
        <f t="shared" si="60"/>
        <v>718</v>
      </c>
      <c r="L993" s="6">
        <f t="shared" si="61"/>
        <v>718</v>
      </c>
      <c r="M993" s="6">
        <f>_xlfn.XLOOKUP(E993, Products!A:A, Products!E:E)</f>
        <v>272</v>
      </c>
      <c r="N993" s="6">
        <f t="shared" si="62"/>
        <v>272</v>
      </c>
      <c r="O993" s="8">
        <f t="shared" si="63"/>
        <v>446</v>
      </c>
      <c r="Q993" s="8"/>
      <c r="R993" s="8"/>
    </row>
    <row r="994" spans="1:18">
      <c r="A994" s="4">
        <v>100780</v>
      </c>
      <c r="B994" s="1">
        <v>45303</v>
      </c>
      <c r="C994" s="1">
        <v>45297</v>
      </c>
      <c r="D994" t="s">
        <v>240</v>
      </c>
      <c r="E994" t="s">
        <v>118</v>
      </c>
      <c r="F994">
        <v>1</v>
      </c>
      <c r="G994">
        <v>915</v>
      </c>
      <c r="H994">
        <v>0</v>
      </c>
      <c r="I994" t="s">
        <v>19</v>
      </c>
      <c r="J994" t="s">
        <v>16</v>
      </c>
      <c r="K994" s="6">
        <f t="shared" si="60"/>
        <v>915</v>
      </c>
      <c r="L994" s="6">
        <f t="shared" si="61"/>
        <v>915</v>
      </c>
      <c r="M994" s="6">
        <f>_xlfn.XLOOKUP(E994, Products!A:A, Products!E:E)</f>
        <v>115</v>
      </c>
      <c r="N994" s="6">
        <f t="shared" si="62"/>
        <v>115</v>
      </c>
      <c r="O994" s="8">
        <f t="shared" si="63"/>
        <v>800</v>
      </c>
      <c r="Q994" s="8"/>
      <c r="R994" s="8"/>
    </row>
    <row r="995" spans="1:18">
      <c r="A995" s="4">
        <v>100070</v>
      </c>
      <c r="B995" s="1">
        <v>45300</v>
      </c>
      <c r="C995" s="1">
        <v>45302</v>
      </c>
      <c r="D995" t="s">
        <v>131</v>
      </c>
      <c r="E995" t="s">
        <v>132</v>
      </c>
      <c r="F995">
        <v>1</v>
      </c>
      <c r="G995">
        <v>211</v>
      </c>
      <c r="H995">
        <v>15</v>
      </c>
      <c r="I995" t="s">
        <v>19</v>
      </c>
      <c r="J995" t="s">
        <v>26</v>
      </c>
      <c r="K995" s="6">
        <f t="shared" si="60"/>
        <v>211</v>
      </c>
      <c r="L995" s="6">
        <f t="shared" si="61"/>
        <v>-2954</v>
      </c>
      <c r="M995" s="6">
        <f>_xlfn.XLOOKUP(E995, Products!A:A, Products!E:E)</f>
        <v>138</v>
      </c>
      <c r="N995" s="6">
        <f t="shared" si="62"/>
        <v>138</v>
      </c>
      <c r="O995" s="8">
        <f t="shared" si="63"/>
        <v>-3092</v>
      </c>
      <c r="Q995" s="8"/>
      <c r="R995" s="8"/>
    </row>
    <row r="996" spans="1:18">
      <c r="A996" s="4">
        <v>100953</v>
      </c>
      <c r="B996" s="1">
        <v>45300</v>
      </c>
      <c r="C996" s="1">
        <v>45296</v>
      </c>
      <c r="D996" t="s">
        <v>27</v>
      </c>
      <c r="E996" t="s">
        <v>87</v>
      </c>
      <c r="F996">
        <v>1</v>
      </c>
      <c r="G996">
        <v>810</v>
      </c>
      <c r="H996">
        <v>15</v>
      </c>
      <c r="I996" t="s">
        <v>29</v>
      </c>
      <c r="J996" t="s">
        <v>13</v>
      </c>
      <c r="K996" s="6">
        <f t="shared" si="60"/>
        <v>810</v>
      </c>
      <c r="L996" s="6">
        <f t="shared" si="61"/>
        <v>-11340</v>
      </c>
      <c r="M996" s="6">
        <f>_xlfn.XLOOKUP(E996, Products!A:A, Products!E:E)</f>
        <v>269</v>
      </c>
      <c r="N996" s="6">
        <f t="shared" si="62"/>
        <v>269</v>
      </c>
      <c r="O996" s="8">
        <f t="shared" si="63"/>
        <v>-11609</v>
      </c>
      <c r="Q996" s="8"/>
      <c r="R996" s="8"/>
    </row>
    <row r="997" spans="1:18">
      <c r="A997" s="4">
        <v>100804</v>
      </c>
      <c r="B997" s="1">
        <v>45298</v>
      </c>
      <c r="C997" s="1">
        <v>45296</v>
      </c>
      <c r="D997" t="s">
        <v>124</v>
      </c>
      <c r="E997" t="s">
        <v>164</v>
      </c>
      <c r="F997">
        <v>1</v>
      </c>
      <c r="G997">
        <v>1299</v>
      </c>
      <c r="H997">
        <v>10</v>
      </c>
      <c r="I997" t="s">
        <v>29</v>
      </c>
      <c r="J997" t="s">
        <v>16</v>
      </c>
      <c r="K997" s="6">
        <f t="shared" si="60"/>
        <v>1299</v>
      </c>
      <c r="L997" s="6">
        <f t="shared" si="61"/>
        <v>-11691</v>
      </c>
      <c r="M997" s="6">
        <f>_xlfn.XLOOKUP(E997, Products!A:A, Products!E:E)</f>
        <v>156</v>
      </c>
      <c r="N997" s="6">
        <f t="shared" si="62"/>
        <v>156</v>
      </c>
      <c r="O997" s="8">
        <f t="shared" si="63"/>
        <v>-11847</v>
      </c>
      <c r="Q997" s="8"/>
      <c r="R997" s="8"/>
    </row>
    <row r="998" spans="1:18">
      <c r="A998" s="4">
        <v>100433</v>
      </c>
      <c r="B998" s="1">
        <v>45297</v>
      </c>
      <c r="C998" s="1">
        <v>45295</v>
      </c>
      <c r="D998" t="s">
        <v>94</v>
      </c>
      <c r="E998" t="s">
        <v>63</v>
      </c>
      <c r="F998">
        <v>1</v>
      </c>
      <c r="G998">
        <v>1561</v>
      </c>
      <c r="H998">
        <v>10</v>
      </c>
      <c r="I998" t="s">
        <v>12</v>
      </c>
      <c r="J998" t="s">
        <v>16</v>
      </c>
      <c r="K998" s="6">
        <f t="shared" si="60"/>
        <v>1561</v>
      </c>
      <c r="L998" s="6">
        <f t="shared" si="61"/>
        <v>-14049</v>
      </c>
      <c r="M998" s="6">
        <f>_xlfn.XLOOKUP(E998, Products!A:A, Products!E:E)</f>
        <v>294</v>
      </c>
      <c r="N998" s="6">
        <f t="shared" si="62"/>
        <v>294</v>
      </c>
      <c r="O998" s="8">
        <f t="shared" si="63"/>
        <v>-14343</v>
      </c>
      <c r="Q998" s="8"/>
      <c r="R998" s="8"/>
    </row>
    <row r="999" spans="1:18">
      <c r="A999" s="4">
        <v>100295</v>
      </c>
      <c r="B999" s="1">
        <v>45293</v>
      </c>
      <c r="C999" s="1">
        <v>45297</v>
      </c>
      <c r="D999" t="s">
        <v>159</v>
      </c>
      <c r="E999" t="s">
        <v>167</v>
      </c>
      <c r="F999">
        <v>1</v>
      </c>
      <c r="G999">
        <v>1193</v>
      </c>
      <c r="H999">
        <v>5</v>
      </c>
      <c r="I999" t="s">
        <v>12</v>
      </c>
      <c r="J999" t="s">
        <v>16</v>
      </c>
      <c r="K999" s="6">
        <f t="shared" si="60"/>
        <v>1193</v>
      </c>
      <c r="L999" s="6">
        <f t="shared" si="61"/>
        <v>-4772</v>
      </c>
      <c r="M999" s="6">
        <f>_xlfn.XLOOKUP(E999, Products!A:A, Products!E:E)</f>
        <v>181</v>
      </c>
      <c r="N999" s="6">
        <f t="shared" si="62"/>
        <v>181</v>
      </c>
      <c r="O999" s="8">
        <f t="shared" si="63"/>
        <v>-4953</v>
      </c>
      <c r="Q999" s="8"/>
      <c r="R999" s="8"/>
    </row>
    <row r="1000" spans="1:18">
      <c r="A1000" s="4">
        <v>100684</v>
      </c>
      <c r="B1000" s="1">
        <v>45293</v>
      </c>
      <c r="C1000" s="1">
        <v>45301</v>
      </c>
      <c r="D1000" t="s">
        <v>293</v>
      </c>
      <c r="E1000" t="s">
        <v>137</v>
      </c>
      <c r="F1000">
        <v>1</v>
      </c>
      <c r="G1000">
        <v>469</v>
      </c>
      <c r="H1000">
        <v>15</v>
      </c>
      <c r="I1000" t="s">
        <v>19</v>
      </c>
      <c r="J1000" t="s">
        <v>13</v>
      </c>
      <c r="K1000" s="6">
        <f t="shared" si="60"/>
        <v>469</v>
      </c>
      <c r="L1000" s="6">
        <f t="shared" si="61"/>
        <v>-6566</v>
      </c>
      <c r="M1000" s="6">
        <f>_xlfn.XLOOKUP(E1000, Products!A:A, Products!E:E)</f>
        <v>239</v>
      </c>
      <c r="N1000" s="6">
        <f t="shared" si="62"/>
        <v>239</v>
      </c>
      <c r="O1000" s="8">
        <f t="shared" si="63"/>
        <v>-6805</v>
      </c>
      <c r="Q1000" s="8"/>
      <c r="R1000" s="8"/>
    </row>
    <row r="1001" spans="1:18">
      <c r="A1001" s="4">
        <v>100420</v>
      </c>
      <c r="B1001" s="1">
        <v>45292</v>
      </c>
      <c r="C1001" s="1">
        <v>45295</v>
      </c>
      <c r="D1001" t="s">
        <v>121</v>
      </c>
      <c r="E1001" t="s">
        <v>44</v>
      </c>
      <c r="F1001">
        <v>1</v>
      </c>
      <c r="G1001">
        <v>1838</v>
      </c>
      <c r="H1001">
        <v>10</v>
      </c>
      <c r="I1001" t="s">
        <v>12</v>
      </c>
      <c r="J1001" t="s">
        <v>13</v>
      </c>
      <c r="K1001" s="6">
        <f t="shared" si="60"/>
        <v>1838</v>
      </c>
      <c r="L1001" s="6">
        <f t="shared" si="61"/>
        <v>-16542</v>
      </c>
      <c r="M1001" s="6">
        <f>_xlfn.XLOOKUP(E1001, Products!A:A, Products!E:E)</f>
        <v>204</v>
      </c>
      <c r="N1001" s="6">
        <f t="shared" si="62"/>
        <v>204</v>
      </c>
      <c r="O1001" s="8">
        <f t="shared" si="63"/>
        <v>-16746</v>
      </c>
      <c r="Q1001" s="8"/>
      <c r="R1001" s="8"/>
    </row>
  </sheetData>
  <sortState xmlns:xlrd2="http://schemas.microsoft.com/office/spreadsheetml/2017/richdata2" ref="A2:M1002">
    <sortCondition descending="1" ref="F1:F1002"/>
  </sortState>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170" zoomScaleNormal="170" workbookViewId="0">
      <selection sqref="A1:G101"/>
    </sheetView>
  </sheetViews>
  <sheetFormatPr defaultColWidth="8.85546875" defaultRowHeight="15"/>
  <cols>
    <col min="1" max="1" width="8.85546875" style="4"/>
    <col min="2" max="2" width="15.7109375" customWidth="1"/>
  </cols>
  <sheetData>
    <row r="1" spans="1:7">
      <c r="A1" s="4" t="s">
        <v>4</v>
      </c>
      <c r="B1" s="4" t="s">
        <v>409</v>
      </c>
      <c r="C1" s="4" t="s">
        <v>410</v>
      </c>
      <c r="D1" s="4" t="s">
        <v>411</v>
      </c>
      <c r="E1" s="4" t="s">
        <v>412</v>
      </c>
      <c r="F1" s="4"/>
    </row>
    <row r="2" spans="1:7">
      <c r="A2" s="4" t="s">
        <v>298</v>
      </c>
      <c r="B2" t="s">
        <v>413</v>
      </c>
      <c r="C2" t="s">
        <v>414</v>
      </c>
      <c r="D2" t="s">
        <v>415</v>
      </c>
      <c r="E2">
        <v>171</v>
      </c>
      <c r="F2" t="str">
        <f>MID(A2,2,3)</f>
        <v>500</v>
      </c>
      <c r="G2" s="6" t="str">
        <f>IFERROR(VLOOKUP(A2,Products!A:E,2,FALSE),"Not Found")</f>
        <v>Product_0</v>
      </c>
    </row>
    <row r="3" spans="1:7">
      <c r="A3" s="4" t="s">
        <v>73</v>
      </c>
      <c r="B3" t="s">
        <v>416</v>
      </c>
      <c r="C3" t="s">
        <v>417</v>
      </c>
      <c r="D3" t="s">
        <v>418</v>
      </c>
      <c r="E3">
        <v>243</v>
      </c>
      <c r="G3" s="8" t="b">
        <f>ISBLANK(A2)</f>
        <v>0</v>
      </c>
    </row>
    <row r="4" spans="1:7">
      <c r="A4" s="4" t="s">
        <v>101</v>
      </c>
      <c r="B4" t="s">
        <v>419</v>
      </c>
      <c r="C4" t="s">
        <v>414</v>
      </c>
      <c r="D4" t="s">
        <v>420</v>
      </c>
      <c r="E4">
        <v>126</v>
      </c>
      <c r="G4" s="8" t="b">
        <f>ISNUMBER(A2)</f>
        <v>0</v>
      </c>
    </row>
    <row r="5" spans="1:7">
      <c r="A5" s="4" t="s">
        <v>132</v>
      </c>
      <c r="B5" t="s">
        <v>421</v>
      </c>
      <c r="C5" t="s">
        <v>422</v>
      </c>
      <c r="D5" t="s">
        <v>420</v>
      </c>
      <c r="E5">
        <v>138</v>
      </c>
      <c r="G5" t="b">
        <f>ISTEXT(A2)</f>
        <v>1</v>
      </c>
    </row>
    <row r="6" spans="1:7">
      <c r="A6" s="4" t="s">
        <v>95</v>
      </c>
      <c r="B6" t="s">
        <v>423</v>
      </c>
      <c r="C6" t="s">
        <v>417</v>
      </c>
      <c r="D6" t="s">
        <v>415</v>
      </c>
      <c r="E6">
        <v>113</v>
      </c>
    </row>
    <row r="7" spans="1:7">
      <c r="A7" s="4" t="s">
        <v>209</v>
      </c>
      <c r="B7" t="s">
        <v>424</v>
      </c>
      <c r="C7" t="s">
        <v>422</v>
      </c>
      <c r="D7" t="s">
        <v>418</v>
      </c>
      <c r="E7">
        <v>53</v>
      </c>
    </row>
    <row r="8" spans="1:7">
      <c r="A8" s="4" t="s">
        <v>91</v>
      </c>
      <c r="B8" t="s">
        <v>425</v>
      </c>
      <c r="C8" t="s">
        <v>426</v>
      </c>
      <c r="D8" t="s">
        <v>415</v>
      </c>
      <c r="E8">
        <v>243</v>
      </c>
    </row>
    <row r="9" spans="1:7">
      <c r="A9" s="4" t="s">
        <v>15</v>
      </c>
      <c r="B9" t="s">
        <v>427</v>
      </c>
      <c r="C9" t="s">
        <v>422</v>
      </c>
      <c r="D9" t="s">
        <v>415</v>
      </c>
      <c r="E9">
        <v>242</v>
      </c>
    </row>
    <row r="10" spans="1:7">
      <c r="A10" s="4" t="s">
        <v>61</v>
      </c>
      <c r="B10" t="s">
        <v>428</v>
      </c>
      <c r="C10" t="s">
        <v>417</v>
      </c>
      <c r="D10" t="s">
        <v>420</v>
      </c>
      <c r="E10">
        <v>65</v>
      </c>
    </row>
    <row r="11" spans="1:7">
      <c r="A11" s="4" t="s">
        <v>115</v>
      </c>
      <c r="B11" t="s">
        <v>429</v>
      </c>
      <c r="C11" t="s">
        <v>417</v>
      </c>
      <c r="D11" t="s">
        <v>415</v>
      </c>
      <c r="E11">
        <v>211</v>
      </c>
    </row>
    <row r="12" spans="1:7">
      <c r="A12" s="4" t="s">
        <v>69</v>
      </c>
      <c r="B12" t="s">
        <v>430</v>
      </c>
      <c r="C12" t="s">
        <v>417</v>
      </c>
      <c r="D12" t="s">
        <v>415</v>
      </c>
      <c r="E12">
        <v>82</v>
      </c>
    </row>
    <row r="13" spans="1:7">
      <c r="A13" s="4" t="s">
        <v>53</v>
      </c>
      <c r="B13" t="s">
        <v>431</v>
      </c>
      <c r="C13" t="s">
        <v>417</v>
      </c>
      <c r="D13" t="s">
        <v>418</v>
      </c>
      <c r="E13">
        <v>140</v>
      </c>
    </row>
    <row r="14" spans="1:7">
      <c r="A14" s="4" t="s">
        <v>89</v>
      </c>
      <c r="B14" t="s">
        <v>432</v>
      </c>
      <c r="C14" t="s">
        <v>422</v>
      </c>
      <c r="D14" t="s">
        <v>415</v>
      </c>
      <c r="E14">
        <v>184</v>
      </c>
    </row>
    <row r="15" spans="1:7">
      <c r="A15" s="4" t="s">
        <v>134</v>
      </c>
      <c r="B15" t="s">
        <v>433</v>
      </c>
      <c r="C15" t="s">
        <v>414</v>
      </c>
      <c r="D15" t="s">
        <v>418</v>
      </c>
      <c r="E15">
        <v>179</v>
      </c>
    </row>
    <row r="16" spans="1:7">
      <c r="A16" s="4" t="s">
        <v>56</v>
      </c>
      <c r="B16" t="s">
        <v>434</v>
      </c>
      <c r="C16" t="s">
        <v>426</v>
      </c>
      <c r="D16" t="s">
        <v>415</v>
      </c>
      <c r="E16">
        <v>212</v>
      </c>
    </row>
    <row r="17" spans="1:5">
      <c r="A17" s="4" t="s">
        <v>164</v>
      </c>
      <c r="B17" t="s">
        <v>435</v>
      </c>
      <c r="C17" t="s">
        <v>426</v>
      </c>
      <c r="D17" t="s">
        <v>418</v>
      </c>
      <c r="E17">
        <v>156</v>
      </c>
    </row>
    <row r="18" spans="1:5">
      <c r="A18" s="4" t="s">
        <v>212</v>
      </c>
      <c r="B18" t="s">
        <v>436</v>
      </c>
      <c r="C18" t="s">
        <v>422</v>
      </c>
      <c r="D18" t="s">
        <v>418</v>
      </c>
      <c r="E18">
        <v>196</v>
      </c>
    </row>
    <row r="19" spans="1:5">
      <c r="A19" s="4" t="s">
        <v>181</v>
      </c>
      <c r="B19" t="s">
        <v>437</v>
      </c>
      <c r="C19" t="s">
        <v>426</v>
      </c>
      <c r="D19" t="s">
        <v>420</v>
      </c>
      <c r="E19">
        <v>72</v>
      </c>
    </row>
    <row r="20" spans="1:5">
      <c r="A20" s="4" t="s">
        <v>238</v>
      </c>
      <c r="B20" t="s">
        <v>438</v>
      </c>
      <c r="C20" t="s">
        <v>414</v>
      </c>
      <c r="D20" t="s">
        <v>420</v>
      </c>
      <c r="E20">
        <v>265</v>
      </c>
    </row>
    <row r="21" spans="1:5">
      <c r="A21" s="4" t="s">
        <v>68</v>
      </c>
      <c r="B21" t="s">
        <v>439</v>
      </c>
      <c r="C21" t="s">
        <v>414</v>
      </c>
      <c r="D21" t="s">
        <v>418</v>
      </c>
      <c r="E21">
        <v>295</v>
      </c>
    </row>
    <row r="22" spans="1:5">
      <c r="A22" s="4" t="s">
        <v>126</v>
      </c>
      <c r="B22" t="s">
        <v>440</v>
      </c>
      <c r="C22" t="s">
        <v>426</v>
      </c>
      <c r="D22" t="s">
        <v>418</v>
      </c>
      <c r="E22">
        <v>177</v>
      </c>
    </row>
    <row r="23" spans="1:5">
      <c r="A23" s="4" t="s">
        <v>236</v>
      </c>
      <c r="B23" t="s">
        <v>441</v>
      </c>
      <c r="C23" t="s">
        <v>426</v>
      </c>
      <c r="D23" t="s">
        <v>420</v>
      </c>
      <c r="E23">
        <v>120</v>
      </c>
    </row>
    <row r="24" spans="1:5">
      <c r="A24" s="4" t="s">
        <v>99</v>
      </c>
      <c r="B24" t="s">
        <v>442</v>
      </c>
      <c r="C24" t="s">
        <v>422</v>
      </c>
      <c r="D24" t="s">
        <v>420</v>
      </c>
      <c r="E24">
        <v>145</v>
      </c>
    </row>
    <row r="25" spans="1:5">
      <c r="A25" s="4" t="s">
        <v>195</v>
      </c>
      <c r="B25" t="s">
        <v>443</v>
      </c>
      <c r="C25" t="s">
        <v>417</v>
      </c>
      <c r="D25" t="s">
        <v>415</v>
      </c>
      <c r="E25">
        <v>261</v>
      </c>
    </row>
    <row r="26" spans="1:5">
      <c r="A26" s="4" t="s">
        <v>46</v>
      </c>
      <c r="B26" t="s">
        <v>444</v>
      </c>
      <c r="C26" t="s">
        <v>445</v>
      </c>
      <c r="D26" t="s">
        <v>418</v>
      </c>
      <c r="E26">
        <v>191</v>
      </c>
    </row>
    <row r="27" spans="1:5">
      <c r="A27" s="4" t="s">
        <v>224</v>
      </c>
      <c r="B27" t="s">
        <v>446</v>
      </c>
      <c r="C27" t="s">
        <v>445</v>
      </c>
      <c r="D27" t="s">
        <v>420</v>
      </c>
      <c r="E27">
        <v>118</v>
      </c>
    </row>
    <row r="28" spans="1:5">
      <c r="A28" s="4" t="s">
        <v>39</v>
      </c>
      <c r="B28" t="s">
        <v>447</v>
      </c>
      <c r="C28" t="s">
        <v>445</v>
      </c>
      <c r="D28" t="s">
        <v>418</v>
      </c>
      <c r="E28">
        <v>238</v>
      </c>
    </row>
    <row r="29" spans="1:5">
      <c r="A29" s="4" t="s">
        <v>55</v>
      </c>
      <c r="B29" t="s">
        <v>448</v>
      </c>
      <c r="C29" t="s">
        <v>422</v>
      </c>
      <c r="D29" t="s">
        <v>415</v>
      </c>
      <c r="E29">
        <v>141</v>
      </c>
    </row>
    <row r="30" spans="1:5">
      <c r="A30" s="4" t="s">
        <v>41</v>
      </c>
      <c r="B30" t="s">
        <v>449</v>
      </c>
      <c r="C30" t="s">
        <v>422</v>
      </c>
      <c r="D30" t="s">
        <v>418</v>
      </c>
      <c r="E30">
        <v>125</v>
      </c>
    </row>
    <row r="31" spans="1:5">
      <c r="A31" s="4" t="s">
        <v>201</v>
      </c>
      <c r="B31" t="s">
        <v>450</v>
      </c>
      <c r="C31" t="s">
        <v>445</v>
      </c>
      <c r="D31" t="s">
        <v>418</v>
      </c>
      <c r="E31">
        <v>123</v>
      </c>
    </row>
    <row r="32" spans="1:5">
      <c r="A32" s="4" t="s">
        <v>187</v>
      </c>
      <c r="B32" t="s">
        <v>451</v>
      </c>
      <c r="C32" t="s">
        <v>426</v>
      </c>
      <c r="D32" t="s">
        <v>418</v>
      </c>
      <c r="E32">
        <v>68</v>
      </c>
    </row>
    <row r="33" spans="1:5">
      <c r="A33" s="4" t="s">
        <v>331</v>
      </c>
      <c r="B33" t="s">
        <v>452</v>
      </c>
      <c r="C33" t="s">
        <v>417</v>
      </c>
      <c r="D33" t="s">
        <v>418</v>
      </c>
      <c r="E33">
        <v>128</v>
      </c>
    </row>
    <row r="34" spans="1:5">
      <c r="A34" s="4" t="s">
        <v>80</v>
      </c>
      <c r="B34" t="s">
        <v>453</v>
      </c>
      <c r="C34" t="s">
        <v>417</v>
      </c>
      <c r="D34" t="s">
        <v>415</v>
      </c>
      <c r="E34">
        <v>71</v>
      </c>
    </row>
    <row r="35" spans="1:5">
      <c r="A35" s="4" t="s">
        <v>37</v>
      </c>
      <c r="B35" t="s">
        <v>454</v>
      </c>
      <c r="C35" t="s">
        <v>417</v>
      </c>
      <c r="D35" t="s">
        <v>415</v>
      </c>
      <c r="E35">
        <v>282</v>
      </c>
    </row>
    <row r="36" spans="1:5">
      <c r="A36" s="4" t="s">
        <v>167</v>
      </c>
      <c r="B36" t="s">
        <v>455</v>
      </c>
      <c r="C36" t="s">
        <v>445</v>
      </c>
      <c r="D36" t="s">
        <v>415</v>
      </c>
      <c r="E36">
        <v>181</v>
      </c>
    </row>
    <row r="37" spans="1:5">
      <c r="A37" s="4" t="s">
        <v>217</v>
      </c>
      <c r="B37" t="s">
        <v>456</v>
      </c>
      <c r="C37" t="s">
        <v>417</v>
      </c>
      <c r="D37" t="s">
        <v>420</v>
      </c>
      <c r="E37">
        <v>223</v>
      </c>
    </row>
    <row r="38" spans="1:5">
      <c r="A38" s="4" t="s">
        <v>120</v>
      </c>
      <c r="B38" t="s">
        <v>457</v>
      </c>
      <c r="C38" t="s">
        <v>417</v>
      </c>
      <c r="D38" t="s">
        <v>418</v>
      </c>
      <c r="E38">
        <v>52</v>
      </c>
    </row>
    <row r="39" spans="1:5">
      <c r="A39" s="4" t="s">
        <v>247</v>
      </c>
      <c r="B39" t="s">
        <v>458</v>
      </c>
      <c r="C39" t="s">
        <v>417</v>
      </c>
      <c r="D39" t="s">
        <v>415</v>
      </c>
      <c r="E39">
        <v>70</v>
      </c>
    </row>
    <row r="40" spans="1:5">
      <c r="A40" s="4" t="s">
        <v>103</v>
      </c>
      <c r="B40" t="s">
        <v>459</v>
      </c>
      <c r="C40" t="s">
        <v>417</v>
      </c>
      <c r="D40" t="s">
        <v>415</v>
      </c>
      <c r="E40">
        <v>185</v>
      </c>
    </row>
    <row r="41" spans="1:5">
      <c r="A41" s="4" t="s">
        <v>207</v>
      </c>
      <c r="B41" t="s">
        <v>460</v>
      </c>
      <c r="C41" t="s">
        <v>422</v>
      </c>
      <c r="D41" t="s">
        <v>418</v>
      </c>
      <c r="E41">
        <v>147</v>
      </c>
    </row>
    <row r="42" spans="1:5">
      <c r="A42" s="4" t="s">
        <v>85</v>
      </c>
      <c r="B42" t="s">
        <v>461</v>
      </c>
      <c r="C42" t="s">
        <v>422</v>
      </c>
      <c r="D42" t="s">
        <v>420</v>
      </c>
      <c r="E42">
        <v>148</v>
      </c>
    </row>
    <row r="43" spans="1:5">
      <c r="A43" s="4" t="s">
        <v>334</v>
      </c>
      <c r="B43" t="s">
        <v>462</v>
      </c>
      <c r="C43" t="s">
        <v>414</v>
      </c>
      <c r="D43" t="s">
        <v>420</v>
      </c>
      <c r="E43">
        <v>93</v>
      </c>
    </row>
    <row r="44" spans="1:5">
      <c r="A44" s="4" t="s">
        <v>87</v>
      </c>
      <c r="B44" t="s">
        <v>463</v>
      </c>
      <c r="C44" t="s">
        <v>426</v>
      </c>
      <c r="D44" t="s">
        <v>418</v>
      </c>
      <c r="E44">
        <v>269</v>
      </c>
    </row>
    <row r="45" spans="1:5">
      <c r="A45" s="4" t="s">
        <v>156</v>
      </c>
      <c r="B45" t="s">
        <v>464</v>
      </c>
      <c r="C45" t="s">
        <v>445</v>
      </c>
      <c r="D45" t="s">
        <v>415</v>
      </c>
      <c r="E45">
        <v>168</v>
      </c>
    </row>
    <row r="46" spans="1:5">
      <c r="A46" s="4" t="s">
        <v>281</v>
      </c>
      <c r="B46" t="s">
        <v>465</v>
      </c>
      <c r="C46" t="s">
        <v>422</v>
      </c>
      <c r="D46" t="s">
        <v>418</v>
      </c>
      <c r="E46">
        <v>117</v>
      </c>
    </row>
    <row r="47" spans="1:5">
      <c r="A47" s="4" t="s">
        <v>97</v>
      </c>
      <c r="B47" t="s">
        <v>466</v>
      </c>
      <c r="C47" t="s">
        <v>426</v>
      </c>
      <c r="D47" t="s">
        <v>420</v>
      </c>
      <c r="E47">
        <v>229</v>
      </c>
    </row>
    <row r="48" spans="1:5">
      <c r="A48" s="4" t="s">
        <v>325</v>
      </c>
      <c r="B48" t="s">
        <v>467</v>
      </c>
      <c r="C48" t="s">
        <v>445</v>
      </c>
      <c r="D48" t="s">
        <v>420</v>
      </c>
      <c r="E48">
        <v>68</v>
      </c>
    </row>
    <row r="49" spans="1:5">
      <c r="A49" s="4" t="s">
        <v>145</v>
      </c>
      <c r="B49" t="s">
        <v>468</v>
      </c>
      <c r="C49" t="s">
        <v>445</v>
      </c>
      <c r="D49" t="s">
        <v>415</v>
      </c>
      <c r="E49">
        <v>247</v>
      </c>
    </row>
    <row r="50" spans="1:5">
      <c r="A50" s="4" t="s">
        <v>28</v>
      </c>
      <c r="B50" t="s">
        <v>469</v>
      </c>
      <c r="C50" t="s">
        <v>414</v>
      </c>
      <c r="D50" t="s">
        <v>418</v>
      </c>
      <c r="E50">
        <v>160</v>
      </c>
    </row>
    <row r="51" spans="1:5">
      <c r="A51" s="4" t="s">
        <v>75</v>
      </c>
      <c r="B51" t="s">
        <v>470</v>
      </c>
      <c r="C51" t="s">
        <v>414</v>
      </c>
      <c r="D51" t="s">
        <v>418</v>
      </c>
      <c r="E51">
        <v>70</v>
      </c>
    </row>
    <row r="52" spans="1:5">
      <c r="A52" s="4" t="s">
        <v>139</v>
      </c>
      <c r="B52" t="s">
        <v>471</v>
      </c>
      <c r="C52" t="s">
        <v>417</v>
      </c>
      <c r="D52" t="s">
        <v>418</v>
      </c>
      <c r="E52">
        <v>280</v>
      </c>
    </row>
    <row r="53" spans="1:5">
      <c r="A53" s="4" t="s">
        <v>93</v>
      </c>
      <c r="B53" t="s">
        <v>472</v>
      </c>
      <c r="C53" t="s">
        <v>417</v>
      </c>
      <c r="D53" t="s">
        <v>415</v>
      </c>
      <c r="E53">
        <v>222</v>
      </c>
    </row>
    <row r="54" spans="1:5">
      <c r="A54" s="4" t="s">
        <v>269</v>
      </c>
      <c r="B54" t="s">
        <v>473</v>
      </c>
      <c r="C54" t="s">
        <v>417</v>
      </c>
      <c r="D54" t="s">
        <v>420</v>
      </c>
      <c r="E54">
        <v>128</v>
      </c>
    </row>
    <row r="55" spans="1:5">
      <c r="A55" s="4" t="s">
        <v>158</v>
      </c>
      <c r="B55" t="s">
        <v>474</v>
      </c>
      <c r="C55" t="s">
        <v>417</v>
      </c>
      <c r="D55" t="s">
        <v>415</v>
      </c>
      <c r="E55">
        <v>281</v>
      </c>
    </row>
    <row r="56" spans="1:5">
      <c r="A56" s="4" t="s">
        <v>138</v>
      </c>
      <c r="B56" t="s">
        <v>475</v>
      </c>
      <c r="C56" t="s">
        <v>426</v>
      </c>
      <c r="D56" t="s">
        <v>415</v>
      </c>
      <c r="E56">
        <v>186</v>
      </c>
    </row>
    <row r="57" spans="1:5">
      <c r="A57" s="4" t="s">
        <v>123</v>
      </c>
      <c r="B57" t="s">
        <v>476</v>
      </c>
      <c r="C57" t="s">
        <v>426</v>
      </c>
      <c r="D57" t="s">
        <v>415</v>
      </c>
      <c r="E57">
        <v>154</v>
      </c>
    </row>
    <row r="58" spans="1:5">
      <c r="A58" s="4" t="s">
        <v>129</v>
      </c>
      <c r="B58" t="s">
        <v>477</v>
      </c>
      <c r="C58" t="s">
        <v>414</v>
      </c>
      <c r="D58" t="s">
        <v>415</v>
      </c>
      <c r="E58">
        <v>171</v>
      </c>
    </row>
    <row r="59" spans="1:5">
      <c r="A59" s="4" t="s">
        <v>197</v>
      </c>
      <c r="B59" t="s">
        <v>478</v>
      </c>
      <c r="C59" t="s">
        <v>417</v>
      </c>
      <c r="D59" t="s">
        <v>415</v>
      </c>
      <c r="E59">
        <v>236</v>
      </c>
    </row>
    <row r="60" spans="1:5">
      <c r="A60" s="4" t="s">
        <v>152</v>
      </c>
      <c r="B60" t="s">
        <v>479</v>
      </c>
      <c r="C60" t="s">
        <v>417</v>
      </c>
      <c r="D60" t="s">
        <v>418</v>
      </c>
      <c r="E60">
        <v>272</v>
      </c>
    </row>
    <row r="61" spans="1:5">
      <c r="A61" s="4" t="s">
        <v>34</v>
      </c>
      <c r="B61" t="s">
        <v>480</v>
      </c>
      <c r="C61" t="s">
        <v>445</v>
      </c>
      <c r="D61" t="s">
        <v>420</v>
      </c>
      <c r="E61">
        <v>187</v>
      </c>
    </row>
    <row r="62" spans="1:5">
      <c r="A62" s="4" t="s">
        <v>170</v>
      </c>
      <c r="B62" t="s">
        <v>481</v>
      </c>
      <c r="C62" t="s">
        <v>445</v>
      </c>
      <c r="D62" t="s">
        <v>418</v>
      </c>
      <c r="E62">
        <v>264</v>
      </c>
    </row>
    <row r="63" spans="1:5">
      <c r="A63" s="4" t="s">
        <v>206</v>
      </c>
      <c r="B63" t="s">
        <v>482</v>
      </c>
      <c r="C63" t="s">
        <v>414</v>
      </c>
      <c r="D63" t="s">
        <v>418</v>
      </c>
      <c r="E63">
        <v>50</v>
      </c>
    </row>
    <row r="64" spans="1:5">
      <c r="A64" s="4" t="s">
        <v>112</v>
      </c>
      <c r="B64" t="s">
        <v>483</v>
      </c>
      <c r="C64" t="s">
        <v>426</v>
      </c>
      <c r="D64" t="s">
        <v>418</v>
      </c>
      <c r="E64">
        <v>72</v>
      </c>
    </row>
    <row r="65" spans="1:5">
      <c r="A65" s="4" t="s">
        <v>77</v>
      </c>
      <c r="B65" t="s">
        <v>484</v>
      </c>
      <c r="C65" t="s">
        <v>445</v>
      </c>
      <c r="D65" t="s">
        <v>415</v>
      </c>
      <c r="E65">
        <v>94</v>
      </c>
    </row>
    <row r="66" spans="1:5">
      <c r="A66" s="4" t="s">
        <v>165</v>
      </c>
      <c r="B66" t="s">
        <v>485</v>
      </c>
      <c r="C66" t="s">
        <v>426</v>
      </c>
      <c r="D66" t="s">
        <v>415</v>
      </c>
      <c r="E66">
        <v>241</v>
      </c>
    </row>
    <row r="67" spans="1:5">
      <c r="A67" s="4" t="s">
        <v>367</v>
      </c>
      <c r="B67" t="s">
        <v>486</v>
      </c>
      <c r="C67" t="s">
        <v>414</v>
      </c>
      <c r="D67" t="s">
        <v>415</v>
      </c>
      <c r="E67">
        <v>158</v>
      </c>
    </row>
    <row r="68" spans="1:5">
      <c r="A68" s="4" t="s">
        <v>63</v>
      </c>
      <c r="B68" t="s">
        <v>487</v>
      </c>
      <c r="C68" t="s">
        <v>414</v>
      </c>
      <c r="D68" t="s">
        <v>420</v>
      </c>
      <c r="E68">
        <v>294</v>
      </c>
    </row>
    <row r="69" spans="1:5">
      <c r="A69" s="4" t="s">
        <v>107</v>
      </c>
      <c r="B69" t="s">
        <v>488</v>
      </c>
      <c r="C69" t="s">
        <v>422</v>
      </c>
      <c r="D69" t="s">
        <v>420</v>
      </c>
      <c r="E69">
        <v>232</v>
      </c>
    </row>
    <row r="70" spans="1:5">
      <c r="A70" s="4" t="s">
        <v>142</v>
      </c>
      <c r="B70" t="s">
        <v>489</v>
      </c>
      <c r="C70" t="s">
        <v>445</v>
      </c>
      <c r="D70" t="s">
        <v>420</v>
      </c>
      <c r="E70">
        <v>276</v>
      </c>
    </row>
    <row r="71" spans="1:5">
      <c r="A71" s="4" t="s">
        <v>242</v>
      </c>
      <c r="B71" t="s">
        <v>490</v>
      </c>
      <c r="C71" t="s">
        <v>426</v>
      </c>
      <c r="D71" t="s">
        <v>420</v>
      </c>
      <c r="E71">
        <v>140</v>
      </c>
    </row>
    <row r="72" spans="1:5">
      <c r="A72" s="4" t="s">
        <v>110</v>
      </c>
      <c r="B72" t="s">
        <v>491</v>
      </c>
      <c r="C72" t="s">
        <v>417</v>
      </c>
      <c r="D72" t="s">
        <v>420</v>
      </c>
      <c r="E72">
        <v>124</v>
      </c>
    </row>
    <row r="73" spans="1:5">
      <c r="A73" s="4" t="s">
        <v>118</v>
      </c>
      <c r="B73" t="s">
        <v>492</v>
      </c>
      <c r="C73" t="s">
        <v>445</v>
      </c>
      <c r="D73" t="s">
        <v>415</v>
      </c>
      <c r="E73">
        <v>115</v>
      </c>
    </row>
    <row r="74" spans="1:5">
      <c r="A74" s="4" t="s">
        <v>204</v>
      </c>
      <c r="B74" t="s">
        <v>493</v>
      </c>
      <c r="C74" t="s">
        <v>445</v>
      </c>
      <c r="D74" t="s">
        <v>418</v>
      </c>
      <c r="E74">
        <v>229</v>
      </c>
    </row>
    <row r="75" spans="1:5">
      <c r="A75" s="4" t="s">
        <v>24</v>
      </c>
      <c r="B75" t="s">
        <v>494</v>
      </c>
      <c r="C75" t="s">
        <v>445</v>
      </c>
      <c r="D75" t="s">
        <v>418</v>
      </c>
      <c r="E75">
        <v>105</v>
      </c>
    </row>
    <row r="76" spans="1:5">
      <c r="A76" s="4" t="s">
        <v>31</v>
      </c>
      <c r="B76" t="s">
        <v>495</v>
      </c>
      <c r="C76" t="s">
        <v>417</v>
      </c>
      <c r="D76" t="s">
        <v>420</v>
      </c>
      <c r="E76">
        <v>187</v>
      </c>
    </row>
    <row r="77" spans="1:5">
      <c r="A77" s="4" t="s">
        <v>210</v>
      </c>
      <c r="B77" t="s">
        <v>496</v>
      </c>
      <c r="C77" t="s">
        <v>414</v>
      </c>
      <c r="D77" t="s">
        <v>420</v>
      </c>
      <c r="E77">
        <v>135</v>
      </c>
    </row>
    <row r="78" spans="1:5">
      <c r="A78" s="4" t="s">
        <v>302</v>
      </c>
      <c r="B78" t="s">
        <v>497</v>
      </c>
      <c r="C78" t="s">
        <v>417</v>
      </c>
      <c r="D78" t="s">
        <v>415</v>
      </c>
      <c r="E78">
        <v>175</v>
      </c>
    </row>
    <row r="79" spans="1:5">
      <c r="A79" s="4" t="s">
        <v>43</v>
      </c>
      <c r="B79" t="s">
        <v>498</v>
      </c>
      <c r="C79" t="s">
        <v>417</v>
      </c>
      <c r="D79" t="s">
        <v>418</v>
      </c>
      <c r="E79">
        <v>228</v>
      </c>
    </row>
    <row r="80" spans="1:5">
      <c r="A80" s="4" t="s">
        <v>265</v>
      </c>
      <c r="B80" t="s">
        <v>499</v>
      </c>
      <c r="C80" t="s">
        <v>417</v>
      </c>
      <c r="D80" t="s">
        <v>415</v>
      </c>
      <c r="E80">
        <v>218</v>
      </c>
    </row>
    <row r="81" spans="1:5">
      <c r="A81" s="4" t="s">
        <v>71</v>
      </c>
      <c r="B81" t="s">
        <v>500</v>
      </c>
      <c r="C81" t="s">
        <v>417</v>
      </c>
      <c r="D81" t="s">
        <v>418</v>
      </c>
      <c r="E81">
        <v>126</v>
      </c>
    </row>
    <row r="82" spans="1:5">
      <c r="A82" s="4" t="s">
        <v>260</v>
      </c>
      <c r="B82" t="s">
        <v>501</v>
      </c>
      <c r="C82" t="s">
        <v>445</v>
      </c>
      <c r="D82" t="s">
        <v>415</v>
      </c>
      <c r="E82">
        <v>222</v>
      </c>
    </row>
    <row r="83" spans="1:5">
      <c r="A83" s="4" t="s">
        <v>178</v>
      </c>
      <c r="B83" t="s">
        <v>502</v>
      </c>
      <c r="C83" t="s">
        <v>445</v>
      </c>
      <c r="D83" t="s">
        <v>420</v>
      </c>
      <c r="E83">
        <v>121</v>
      </c>
    </row>
    <row r="84" spans="1:5">
      <c r="A84" s="4" t="s">
        <v>221</v>
      </c>
      <c r="B84" t="s">
        <v>503</v>
      </c>
      <c r="C84" t="s">
        <v>414</v>
      </c>
      <c r="D84" t="s">
        <v>420</v>
      </c>
      <c r="E84">
        <v>208</v>
      </c>
    </row>
    <row r="85" spans="1:5">
      <c r="A85" s="4" t="s">
        <v>176</v>
      </c>
      <c r="B85" t="s">
        <v>504</v>
      </c>
      <c r="C85" t="s">
        <v>445</v>
      </c>
      <c r="D85" t="s">
        <v>420</v>
      </c>
      <c r="E85">
        <v>61</v>
      </c>
    </row>
    <row r="86" spans="1:5">
      <c r="A86" s="4" t="s">
        <v>48</v>
      </c>
      <c r="B86" t="s">
        <v>505</v>
      </c>
      <c r="C86" t="s">
        <v>445</v>
      </c>
      <c r="D86" t="s">
        <v>420</v>
      </c>
      <c r="E86">
        <v>179</v>
      </c>
    </row>
    <row r="87" spans="1:5">
      <c r="A87" s="4" t="s">
        <v>180</v>
      </c>
      <c r="B87" t="s">
        <v>506</v>
      </c>
      <c r="C87" t="s">
        <v>414</v>
      </c>
      <c r="D87" t="s">
        <v>415</v>
      </c>
      <c r="E87">
        <v>81</v>
      </c>
    </row>
    <row r="88" spans="1:5">
      <c r="A88" s="4" t="s">
        <v>18</v>
      </c>
      <c r="B88" t="s">
        <v>507</v>
      </c>
      <c r="C88" t="s">
        <v>426</v>
      </c>
      <c r="D88" t="s">
        <v>420</v>
      </c>
      <c r="E88">
        <v>222</v>
      </c>
    </row>
    <row r="89" spans="1:5">
      <c r="A89" s="4" t="s">
        <v>11</v>
      </c>
      <c r="B89" t="s">
        <v>508</v>
      </c>
      <c r="C89" t="s">
        <v>422</v>
      </c>
      <c r="D89" t="s">
        <v>420</v>
      </c>
      <c r="E89">
        <v>144</v>
      </c>
    </row>
    <row r="90" spans="1:5">
      <c r="A90" s="4" t="s">
        <v>190</v>
      </c>
      <c r="B90" t="s">
        <v>509</v>
      </c>
      <c r="C90" t="s">
        <v>426</v>
      </c>
      <c r="D90" t="s">
        <v>415</v>
      </c>
      <c r="E90">
        <v>273</v>
      </c>
    </row>
    <row r="91" spans="1:5">
      <c r="A91" s="4" t="s">
        <v>83</v>
      </c>
      <c r="B91" t="s">
        <v>510</v>
      </c>
      <c r="C91" t="s">
        <v>414</v>
      </c>
      <c r="D91" t="s">
        <v>420</v>
      </c>
      <c r="E91">
        <v>243</v>
      </c>
    </row>
    <row r="92" spans="1:5">
      <c r="A92" s="4" t="s">
        <v>44</v>
      </c>
      <c r="B92" t="s">
        <v>511</v>
      </c>
      <c r="C92" t="s">
        <v>417</v>
      </c>
      <c r="D92" t="s">
        <v>418</v>
      </c>
      <c r="E92">
        <v>204</v>
      </c>
    </row>
    <row r="93" spans="1:5">
      <c r="A93" s="4" t="s">
        <v>21</v>
      </c>
      <c r="B93" t="s">
        <v>512</v>
      </c>
      <c r="C93" t="s">
        <v>426</v>
      </c>
      <c r="D93" t="s">
        <v>420</v>
      </c>
      <c r="E93">
        <v>279</v>
      </c>
    </row>
    <row r="94" spans="1:5">
      <c r="A94" s="4" t="s">
        <v>137</v>
      </c>
      <c r="B94" t="s">
        <v>513</v>
      </c>
      <c r="C94" t="s">
        <v>414</v>
      </c>
      <c r="D94" t="s">
        <v>418</v>
      </c>
      <c r="E94">
        <v>239</v>
      </c>
    </row>
    <row r="95" spans="1:5">
      <c r="A95" s="4" t="s">
        <v>50</v>
      </c>
      <c r="B95" t="s">
        <v>514</v>
      </c>
      <c r="C95" t="s">
        <v>417</v>
      </c>
      <c r="D95" t="s">
        <v>415</v>
      </c>
      <c r="E95">
        <v>218</v>
      </c>
    </row>
    <row r="96" spans="1:5">
      <c r="A96" s="4" t="s">
        <v>108</v>
      </c>
      <c r="B96" t="s">
        <v>515</v>
      </c>
      <c r="C96" t="s">
        <v>445</v>
      </c>
      <c r="D96" t="s">
        <v>415</v>
      </c>
      <c r="E96">
        <v>237</v>
      </c>
    </row>
    <row r="97" spans="1:5">
      <c r="A97" s="4" t="s">
        <v>59</v>
      </c>
      <c r="B97" t="s">
        <v>516</v>
      </c>
      <c r="C97" t="s">
        <v>422</v>
      </c>
      <c r="D97" t="s">
        <v>418</v>
      </c>
      <c r="E97">
        <v>116</v>
      </c>
    </row>
    <row r="98" spans="1:5">
      <c r="A98" s="4" t="s">
        <v>65</v>
      </c>
      <c r="B98" t="s">
        <v>517</v>
      </c>
      <c r="C98" t="s">
        <v>422</v>
      </c>
      <c r="D98" t="s">
        <v>420</v>
      </c>
      <c r="E98">
        <v>213</v>
      </c>
    </row>
    <row r="99" spans="1:5">
      <c r="A99" s="4" t="s">
        <v>57</v>
      </c>
      <c r="B99" t="s">
        <v>518</v>
      </c>
      <c r="C99" t="s">
        <v>414</v>
      </c>
      <c r="D99" t="s">
        <v>415</v>
      </c>
      <c r="E99">
        <v>270</v>
      </c>
    </row>
    <row r="100" spans="1:5">
      <c r="A100" s="4" t="s">
        <v>183</v>
      </c>
      <c r="B100" t="s">
        <v>519</v>
      </c>
      <c r="C100" t="s">
        <v>414</v>
      </c>
      <c r="D100" t="s">
        <v>415</v>
      </c>
      <c r="E100">
        <v>55</v>
      </c>
    </row>
    <row r="101" spans="1:5">
      <c r="A101" s="4" t="s">
        <v>144</v>
      </c>
      <c r="B101" t="s">
        <v>520</v>
      </c>
      <c r="C101" t="s">
        <v>445</v>
      </c>
      <c r="D101" t="s">
        <v>418</v>
      </c>
      <c r="E101">
        <v>247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5"/>
  <sheetViews>
    <sheetView zoomScale="160" zoomScaleNormal="160" workbookViewId="0">
      <selection activeCell="H14" sqref="H14"/>
    </sheetView>
  </sheetViews>
  <sheetFormatPr defaultColWidth="8.85546875" defaultRowHeight="15"/>
  <cols>
    <col min="1" max="1" width="8.85546875" style="9"/>
    <col min="2" max="2" width="16" customWidth="1"/>
    <col min="5" max="5" width="21.7109375" customWidth="1"/>
    <col min="7" max="7" width="11.7109375" customWidth="1"/>
  </cols>
  <sheetData>
    <row r="1" spans="1:8">
      <c r="A1" s="9" t="s">
        <v>3</v>
      </c>
      <c r="B1" s="3" t="s">
        <v>521</v>
      </c>
      <c r="C1" s="3" t="s">
        <v>522</v>
      </c>
      <c r="D1" s="3" t="s">
        <v>523</v>
      </c>
      <c r="E1" s="3" t="s">
        <v>524</v>
      </c>
    </row>
    <row r="2" spans="1:8">
      <c r="A2" s="9" t="s">
        <v>319</v>
      </c>
      <c r="B2" t="s">
        <v>525</v>
      </c>
      <c r="C2" t="s">
        <v>526</v>
      </c>
      <c r="D2" t="s">
        <v>527</v>
      </c>
      <c r="E2" s="1">
        <v>45079</v>
      </c>
      <c r="G2" t="str">
        <f>UPPER(Customers!C2)</f>
        <v>CHENNAI</v>
      </c>
      <c r="H2" s="8">
        <f ca="1">IF(COUNTA(A2:K2)&lt;COLUMNS(A2:E2),"Missing","Complete")</f>
        <v>0</v>
      </c>
    </row>
    <row r="3" spans="1:8">
      <c r="A3" s="9" t="s">
        <v>377</v>
      </c>
      <c r="B3" t="s">
        <v>528</v>
      </c>
      <c r="C3" t="s">
        <v>529</v>
      </c>
      <c r="D3" t="s">
        <v>530</v>
      </c>
      <c r="E3" s="1">
        <v>45269</v>
      </c>
      <c r="G3" t="str">
        <f>UPPER(Customers!C3)</f>
        <v>PUNE</v>
      </c>
    </row>
    <row r="4" spans="1:8">
      <c r="A4" s="9" t="s">
        <v>104</v>
      </c>
      <c r="B4" t="s">
        <v>531</v>
      </c>
      <c r="C4" t="s">
        <v>526</v>
      </c>
      <c r="D4" t="s">
        <v>530</v>
      </c>
      <c r="E4" s="1">
        <v>45418</v>
      </c>
      <c r="G4" t="str">
        <f>UPPER(Customers!C4)</f>
        <v>CHENNAI</v>
      </c>
    </row>
    <row r="5" spans="1:8">
      <c r="A5" s="9" t="s">
        <v>339</v>
      </c>
      <c r="B5" t="s">
        <v>532</v>
      </c>
      <c r="C5" t="s">
        <v>526</v>
      </c>
      <c r="D5" t="s">
        <v>533</v>
      </c>
      <c r="E5" s="1">
        <v>44940</v>
      </c>
      <c r="G5" t="str">
        <f>UPPER(Customers!C5)</f>
        <v>CHENNAI</v>
      </c>
    </row>
    <row r="6" spans="1:8">
      <c r="A6" s="9" t="s">
        <v>362</v>
      </c>
      <c r="B6" t="s">
        <v>534</v>
      </c>
      <c r="C6" t="s">
        <v>535</v>
      </c>
      <c r="D6" t="s">
        <v>536</v>
      </c>
      <c r="E6" s="1">
        <v>45351</v>
      </c>
      <c r="G6" t="str">
        <f>UPPER(Customers!C6)</f>
        <v>BENGALURU</v>
      </c>
    </row>
    <row r="7" spans="1:8">
      <c r="A7" s="9" t="s">
        <v>254</v>
      </c>
      <c r="B7" t="s">
        <v>537</v>
      </c>
      <c r="C7" t="s">
        <v>538</v>
      </c>
      <c r="D7" t="s">
        <v>536</v>
      </c>
      <c r="E7" s="1">
        <v>45034</v>
      </c>
    </row>
    <row r="8" spans="1:8">
      <c r="A8" s="9" t="s">
        <v>336</v>
      </c>
      <c r="B8" t="s">
        <v>539</v>
      </c>
      <c r="C8" t="s">
        <v>533</v>
      </c>
      <c r="D8" t="s">
        <v>536</v>
      </c>
      <c r="E8" s="1">
        <v>45337</v>
      </c>
    </row>
    <row r="9" spans="1:8">
      <c r="A9" s="9" t="s">
        <v>333</v>
      </c>
      <c r="B9" t="s">
        <v>540</v>
      </c>
      <c r="C9" t="s">
        <v>535</v>
      </c>
      <c r="D9" t="s">
        <v>541</v>
      </c>
      <c r="E9" s="1">
        <v>44964</v>
      </c>
      <c r="G9" s="8">
        <f>COUNTBLANK(A2:A1000)</f>
        <v>699</v>
      </c>
    </row>
    <row r="10" spans="1:8">
      <c r="A10" s="9" t="s">
        <v>296</v>
      </c>
      <c r="B10" t="s">
        <v>542</v>
      </c>
      <c r="C10" t="s">
        <v>526</v>
      </c>
      <c r="D10" t="s">
        <v>533</v>
      </c>
      <c r="E10" s="1">
        <v>45125</v>
      </c>
    </row>
    <row r="11" spans="1:8">
      <c r="A11" s="9" t="s">
        <v>160</v>
      </c>
      <c r="B11" t="s">
        <v>543</v>
      </c>
      <c r="C11" t="s">
        <v>544</v>
      </c>
      <c r="D11" t="s">
        <v>536</v>
      </c>
      <c r="E11" s="1">
        <v>45489</v>
      </c>
    </row>
    <row r="12" spans="1:8">
      <c r="A12" s="9" t="s">
        <v>263</v>
      </c>
      <c r="B12" t="s">
        <v>545</v>
      </c>
      <c r="C12" t="s">
        <v>526</v>
      </c>
      <c r="D12" t="s">
        <v>541</v>
      </c>
      <c r="E12" s="1">
        <v>44957</v>
      </c>
    </row>
    <row r="13" spans="1:8">
      <c r="A13" s="9" t="s">
        <v>335</v>
      </c>
      <c r="B13" t="s">
        <v>546</v>
      </c>
      <c r="C13" t="s">
        <v>544</v>
      </c>
      <c r="D13" t="s">
        <v>536</v>
      </c>
      <c r="E13" s="1">
        <v>45284</v>
      </c>
    </row>
    <row r="14" spans="1:8">
      <c r="A14" s="9" t="s">
        <v>113</v>
      </c>
      <c r="B14" t="s">
        <v>547</v>
      </c>
      <c r="C14" t="s">
        <v>535</v>
      </c>
      <c r="D14" t="s">
        <v>541</v>
      </c>
      <c r="E14" s="1">
        <v>45276</v>
      </c>
    </row>
    <row r="15" spans="1:8">
      <c r="A15" s="9" t="s">
        <v>376</v>
      </c>
      <c r="B15" t="s">
        <v>548</v>
      </c>
      <c r="C15" t="s">
        <v>533</v>
      </c>
      <c r="D15" t="s">
        <v>530</v>
      </c>
      <c r="E15" s="1">
        <v>45519</v>
      </c>
    </row>
    <row r="16" spans="1:8">
      <c r="A16" s="9" t="s">
        <v>230</v>
      </c>
      <c r="B16" t="s">
        <v>549</v>
      </c>
      <c r="C16" t="s">
        <v>529</v>
      </c>
      <c r="D16" t="s">
        <v>536</v>
      </c>
      <c r="E16" s="1">
        <v>45382</v>
      </c>
    </row>
    <row r="17" spans="1:5">
      <c r="A17" s="9" t="s">
        <v>82</v>
      </c>
      <c r="B17" t="s">
        <v>550</v>
      </c>
      <c r="C17" t="s">
        <v>535</v>
      </c>
      <c r="D17" t="s">
        <v>527</v>
      </c>
      <c r="E17" s="1">
        <v>45401</v>
      </c>
    </row>
    <row r="18" spans="1:5">
      <c r="A18" s="9" t="s">
        <v>266</v>
      </c>
      <c r="B18" t="s">
        <v>551</v>
      </c>
      <c r="C18" t="s">
        <v>538</v>
      </c>
      <c r="D18" t="s">
        <v>533</v>
      </c>
      <c r="E18" s="1">
        <v>45341</v>
      </c>
    </row>
    <row r="19" spans="1:5">
      <c r="A19" s="9" t="s">
        <v>351</v>
      </c>
      <c r="B19" t="s">
        <v>552</v>
      </c>
      <c r="C19" t="s">
        <v>544</v>
      </c>
      <c r="D19" t="s">
        <v>530</v>
      </c>
      <c r="E19" s="1">
        <v>45421</v>
      </c>
    </row>
    <row r="20" spans="1:5">
      <c r="A20" s="9" t="s">
        <v>346</v>
      </c>
      <c r="B20" t="s">
        <v>553</v>
      </c>
      <c r="C20" t="s">
        <v>544</v>
      </c>
      <c r="D20" t="s">
        <v>527</v>
      </c>
      <c r="E20" s="1">
        <v>45544</v>
      </c>
    </row>
    <row r="21" spans="1:5">
      <c r="A21" s="9" t="s">
        <v>390</v>
      </c>
      <c r="B21" t="s">
        <v>554</v>
      </c>
      <c r="C21" t="s">
        <v>529</v>
      </c>
      <c r="D21" t="s">
        <v>530</v>
      </c>
      <c r="E21" s="1">
        <v>45507</v>
      </c>
    </row>
    <row r="22" spans="1:5">
      <c r="A22" s="9" t="s">
        <v>229</v>
      </c>
      <c r="B22" t="s">
        <v>555</v>
      </c>
      <c r="C22" t="s">
        <v>544</v>
      </c>
      <c r="D22" t="s">
        <v>527</v>
      </c>
      <c r="E22" s="1">
        <v>45162</v>
      </c>
    </row>
    <row r="23" spans="1:5">
      <c r="A23" s="9" t="s">
        <v>157</v>
      </c>
      <c r="B23" t="s">
        <v>556</v>
      </c>
      <c r="C23" t="s">
        <v>526</v>
      </c>
      <c r="D23" t="s">
        <v>530</v>
      </c>
      <c r="E23" s="1">
        <v>45256</v>
      </c>
    </row>
    <row r="24" spans="1:5">
      <c r="A24" s="9" t="s">
        <v>396</v>
      </c>
      <c r="B24" t="s">
        <v>557</v>
      </c>
      <c r="C24" t="s">
        <v>533</v>
      </c>
      <c r="D24" t="s">
        <v>536</v>
      </c>
      <c r="E24" s="1">
        <v>45048</v>
      </c>
    </row>
    <row r="25" spans="1:5">
      <c r="A25" s="9" t="s">
        <v>324</v>
      </c>
      <c r="B25" t="s">
        <v>558</v>
      </c>
      <c r="C25" t="s">
        <v>529</v>
      </c>
      <c r="D25" t="s">
        <v>536</v>
      </c>
      <c r="E25" s="1">
        <v>45210</v>
      </c>
    </row>
    <row r="26" spans="1:5">
      <c r="A26" s="9" t="s">
        <v>289</v>
      </c>
      <c r="B26" t="s">
        <v>559</v>
      </c>
      <c r="C26" t="s">
        <v>544</v>
      </c>
      <c r="D26" t="s">
        <v>527</v>
      </c>
      <c r="E26" s="1">
        <v>45203</v>
      </c>
    </row>
    <row r="27" spans="1:5">
      <c r="A27" s="9" t="s">
        <v>74</v>
      </c>
      <c r="B27" t="s">
        <v>560</v>
      </c>
      <c r="C27" t="s">
        <v>544</v>
      </c>
      <c r="D27" t="s">
        <v>527</v>
      </c>
      <c r="E27" s="1">
        <v>45090</v>
      </c>
    </row>
    <row r="28" spans="1:5">
      <c r="A28" s="9" t="s">
        <v>561</v>
      </c>
      <c r="B28" t="s">
        <v>562</v>
      </c>
      <c r="C28" t="s">
        <v>526</v>
      </c>
      <c r="D28" t="s">
        <v>536</v>
      </c>
      <c r="E28" s="1">
        <v>45088</v>
      </c>
    </row>
    <row r="29" spans="1:5">
      <c r="A29" s="9" t="s">
        <v>211</v>
      </c>
      <c r="B29" t="s">
        <v>563</v>
      </c>
      <c r="C29" t="s">
        <v>533</v>
      </c>
      <c r="D29" t="s">
        <v>527</v>
      </c>
      <c r="E29" s="1">
        <v>45199</v>
      </c>
    </row>
    <row r="30" spans="1:5">
      <c r="A30" s="9" t="s">
        <v>389</v>
      </c>
      <c r="B30" t="s">
        <v>564</v>
      </c>
      <c r="C30" t="s">
        <v>544</v>
      </c>
      <c r="D30" t="s">
        <v>536</v>
      </c>
      <c r="E30" s="1">
        <v>45204</v>
      </c>
    </row>
    <row r="31" spans="1:5">
      <c r="A31" s="9" t="s">
        <v>355</v>
      </c>
      <c r="B31" t="s">
        <v>565</v>
      </c>
      <c r="C31" t="s">
        <v>529</v>
      </c>
      <c r="D31" t="s">
        <v>533</v>
      </c>
      <c r="E31" s="1">
        <v>45535</v>
      </c>
    </row>
    <row r="32" spans="1:5">
      <c r="A32" s="9" t="s">
        <v>214</v>
      </c>
      <c r="B32" t="s">
        <v>566</v>
      </c>
      <c r="C32" t="s">
        <v>538</v>
      </c>
      <c r="D32" t="s">
        <v>527</v>
      </c>
      <c r="E32" s="1">
        <v>44940</v>
      </c>
    </row>
    <row r="33" spans="1:5">
      <c r="A33" s="9" t="s">
        <v>401</v>
      </c>
      <c r="B33" t="s">
        <v>567</v>
      </c>
      <c r="C33" t="s">
        <v>544</v>
      </c>
      <c r="D33" t="s">
        <v>533</v>
      </c>
      <c r="E33" s="1">
        <v>45147</v>
      </c>
    </row>
    <row r="34" spans="1:5">
      <c r="A34" s="9" t="s">
        <v>27</v>
      </c>
      <c r="B34" t="s">
        <v>568</v>
      </c>
      <c r="C34" t="s">
        <v>538</v>
      </c>
      <c r="D34" t="s">
        <v>541</v>
      </c>
      <c r="E34" s="1">
        <v>45434</v>
      </c>
    </row>
    <row r="35" spans="1:5">
      <c r="A35" s="9" t="s">
        <v>198</v>
      </c>
      <c r="B35" t="s">
        <v>569</v>
      </c>
      <c r="C35" t="s">
        <v>529</v>
      </c>
      <c r="D35" t="s">
        <v>533</v>
      </c>
      <c r="E35" s="1">
        <v>45152</v>
      </c>
    </row>
    <row r="36" spans="1:5">
      <c r="A36" s="9" t="s">
        <v>203</v>
      </c>
      <c r="B36" t="s">
        <v>570</v>
      </c>
      <c r="C36" t="s">
        <v>544</v>
      </c>
      <c r="D36" t="s">
        <v>533</v>
      </c>
      <c r="E36" s="1">
        <v>45085</v>
      </c>
    </row>
    <row r="37" spans="1:5">
      <c r="A37" s="9" t="s">
        <v>571</v>
      </c>
      <c r="B37" t="s">
        <v>572</v>
      </c>
      <c r="C37" t="s">
        <v>529</v>
      </c>
      <c r="D37" t="s">
        <v>536</v>
      </c>
      <c r="E37" s="1">
        <v>45012</v>
      </c>
    </row>
    <row r="38" spans="1:5">
      <c r="A38" s="9" t="s">
        <v>25</v>
      </c>
      <c r="B38" t="s">
        <v>573</v>
      </c>
      <c r="C38" t="s">
        <v>544</v>
      </c>
      <c r="D38" t="s">
        <v>536</v>
      </c>
      <c r="E38" s="1">
        <v>45249</v>
      </c>
    </row>
    <row r="39" spans="1:5">
      <c r="A39" s="9" t="s">
        <v>275</v>
      </c>
      <c r="B39" t="s">
        <v>574</v>
      </c>
      <c r="C39" t="s">
        <v>538</v>
      </c>
      <c r="D39" t="s">
        <v>536</v>
      </c>
      <c r="E39" s="1">
        <v>45276</v>
      </c>
    </row>
    <row r="40" spans="1:5">
      <c r="A40" s="9" t="s">
        <v>387</v>
      </c>
      <c r="B40" t="s">
        <v>575</v>
      </c>
      <c r="C40" t="s">
        <v>535</v>
      </c>
      <c r="D40" t="s">
        <v>527</v>
      </c>
      <c r="E40" s="1">
        <v>45403</v>
      </c>
    </row>
    <row r="41" spans="1:5">
      <c r="A41" s="9" t="s">
        <v>150</v>
      </c>
      <c r="B41" t="s">
        <v>576</v>
      </c>
      <c r="C41" t="s">
        <v>538</v>
      </c>
      <c r="D41" t="s">
        <v>533</v>
      </c>
      <c r="E41" s="1">
        <v>45379</v>
      </c>
    </row>
    <row r="42" spans="1:5">
      <c r="A42" s="9" t="s">
        <v>313</v>
      </c>
      <c r="B42" t="s">
        <v>577</v>
      </c>
      <c r="C42" t="s">
        <v>533</v>
      </c>
      <c r="D42" t="s">
        <v>530</v>
      </c>
      <c r="E42" s="1">
        <v>45334</v>
      </c>
    </row>
    <row r="43" spans="1:5">
      <c r="A43" s="9" t="s">
        <v>382</v>
      </c>
      <c r="B43" t="s">
        <v>578</v>
      </c>
      <c r="C43" t="s">
        <v>538</v>
      </c>
      <c r="D43" t="s">
        <v>541</v>
      </c>
      <c r="E43" s="1">
        <v>44994</v>
      </c>
    </row>
    <row r="44" spans="1:5">
      <c r="A44" s="9" t="s">
        <v>245</v>
      </c>
      <c r="B44" t="s">
        <v>579</v>
      </c>
      <c r="C44" t="s">
        <v>544</v>
      </c>
      <c r="D44" t="s">
        <v>536</v>
      </c>
      <c r="E44" s="1">
        <v>45397</v>
      </c>
    </row>
    <row r="45" spans="1:5">
      <c r="A45" s="9" t="s">
        <v>320</v>
      </c>
      <c r="B45" t="s">
        <v>580</v>
      </c>
      <c r="C45" t="s">
        <v>544</v>
      </c>
      <c r="D45" t="s">
        <v>536</v>
      </c>
      <c r="E45" s="1">
        <v>45346</v>
      </c>
    </row>
    <row r="46" spans="1:5">
      <c r="A46" s="9" t="s">
        <v>102</v>
      </c>
      <c r="B46" t="s">
        <v>581</v>
      </c>
      <c r="C46" t="s">
        <v>529</v>
      </c>
      <c r="D46" t="s">
        <v>533</v>
      </c>
      <c r="E46" s="1">
        <v>45157</v>
      </c>
    </row>
    <row r="47" spans="1:5">
      <c r="A47" s="9" t="s">
        <v>321</v>
      </c>
      <c r="B47" t="s">
        <v>582</v>
      </c>
      <c r="C47" t="s">
        <v>533</v>
      </c>
      <c r="D47" t="s">
        <v>536</v>
      </c>
      <c r="E47" s="1">
        <v>45030</v>
      </c>
    </row>
    <row r="48" spans="1:5">
      <c r="A48" s="9" t="s">
        <v>10</v>
      </c>
      <c r="B48" t="s">
        <v>583</v>
      </c>
      <c r="C48" t="s">
        <v>533</v>
      </c>
      <c r="D48" t="s">
        <v>541</v>
      </c>
      <c r="E48" s="1">
        <v>45496</v>
      </c>
    </row>
    <row r="49" spans="1:5">
      <c r="A49" s="9" t="s">
        <v>287</v>
      </c>
      <c r="B49" t="s">
        <v>584</v>
      </c>
      <c r="C49" t="s">
        <v>533</v>
      </c>
      <c r="D49" t="s">
        <v>533</v>
      </c>
      <c r="E49" s="1">
        <v>45134</v>
      </c>
    </row>
    <row r="50" spans="1:5">
      <c r="A50" s="9" t="s">
        <v>308</v>
      </c>
      <c r="B50" t="s">
        <v>585</v>
      </c>
      <c r="C50" t="s">
        <v>526</v>
      </c>
      <c r="D50" t="s">
        <v>536</v>
      </c>
      <c r="E50" s="1">
        <v>45443</v>
      </c>
    </row>
    <row r="51" spans="1:5">
      <c r="A51" s="9" t="s">
        <v>357</v>
      </c>
      <c r="B51" t="s">
        <v>586</v>
      </c>
      <c r="C51" t="s">
        <v>533</v>
      </c>
      <c r="D51" t="s">
        <v>530</v>
      </c>
      <c r="E51" s="1">
        <v>45063</v>
      </c>
    </row>
    <row r="52" spans="1:5">
      <c r="A52" s="9" t="s">
        <v>189</v>
      </c>
      <c r="B52" t="s">
        <v>587</v>
      </c>
      <c r="C52" t="s">
        <v>538</v>
      </c>
      <c r="D52" t="s">
        <v>530</v>
      </c>
      <c r="E52" s="1">
        <v>45444</v>
      </c>
    </row>
    <row r="53" spans="1:5">
      <c r="A53" s="9" t="s">
        <v>271</v>
      </c>
      <c r="B53" t="s">
        <v>588</v>
      </c>
      <c r="C53" t="s">
        <v>544</v>
      </c>
      <c r="D53" t="s">
        <v>530</v>
      </c>
      <c r="E53" s="1">
        <v>45557</v>
      </c>
    </row>
    <row r="54" spans="1:5">
      <c r="A54" s="9" t="s">
        <v>364</v>
      </c>
      <c r="B54" t="s">
        <v>589</v>
      </c>
      <c r="C54" t="s">
        <v>535</v>
      </c>
      <c r="D54" t="s">
        <v>541</v>
      </c>
      <c r="E54" s="1">
        <v>45215</v>
      </c>
    </row>
    <row r="55" spans="1:5">
      <c r="A55" s="9" t="s">
        <v>193</v>
      </c>
      <c r="B55" t="s">
        <v>590</v>
      </c>
      <c r="C55" t="s">
        <v>535</v>
      </c>
      <c r="D55" t="s">
        <v>530</v>
      </c>
      <c r="E55" s="1">
        <v>45391</v>
      </c>
    </row>
    <row r="56" spans="1:5">
      <c r="A56" s="9" t="s">
        <v>286</v>
      </c>
      <c r="B56" t="s">
        <v>591</v>
      </c>
      <c r="C56" t="s">
        <v>529</v>
      </c>
      <c r="D56" t="s">
        <v>527</v>
      </c>
      <c r="E56" s="1">
        <v>45110</v>
      </c>
    </row>
    <row r="57" spans="1:5">
      <c r="A57" s="9" t="s">
        <v>58</v>
      </c>
      <c r="B57" t="s">
        <v>592</v>
      </c>
      <c r="C57" t="s">
        <v>544</v>
      </c>
      <c r="D57" t="s">
        <v>541</v>
      </c>
      <c r="E57" s="1">
        <v>45097</v>
      </c>
    </row>
    <row r="58" spans="1:5">
      <c r="A58" s="9" t="s">
        <v>253</v>
      </c>
      <c r="B58" t="s">
        <v>593</v>
      </c>
      <c r="C58" t="s">
        <v>526</v>
      </c>
      <c r="D58" t="s">
        <v>536</v>
      </c>
      <c r="E58" s="1">
        <v>45080</v>
      </c>
    </row>
    <row r="59" spans="1:5">
      <c r="A59" s="9" t="s">
        <v>326</v>
      </c>
      <c r="B59" t="s">
        <v>594</v>
      </c>
      <c r="C59" t="s">
        <v>538</v>
      </c>
      <c r="D59" t="s">
        <v>527</v>
      </c>
      <c r="E59" s="1">
        <v>45519</v>
      </c>
    </row>
    <row r="60" spans="1:5">
      <c r="A60" s="9" t="s">
        <v>300</v>
      </c>
      <c r="B60" t="s">
        <v>595</v>
      </c>
      <c r="C60" t="s">
        <v>526</v>
      </c>
      <c r="D60" t="s">
        <v>536</v>
      </c>
      <c r="E60" s="1">
        <v>45164</v>
      </c>
    </row>
    <row r="61" spans="1:5">
      <c r="A61" s="9" t="s">
        <v>127</v>
      </c>
      <c r="B61" t="s">
        <v>596</v>
      </c>
      <c r="C61" t="s">
        <v>535</v>
      </c>
      <c r="D61" t="s">
        <v>533</v>
      </c>
      <c r="E61" s="1">
        <v>45499</v>
      </c>
    </row>
    <row r="62" spans="1:5">
      <c r="A62" s="9" t="s">
        <v>179</v>
      </c>
      <c r="B62" t="s">
        <v>597</v>
      </c>
      <c r="C62" t="s">
        <v>544</v>
      </c>
      <c r="D62" t="s">
        <v>541</v>
      </c>
      <c r="E62" s="1">
        <v>45404</v>
      </c>
    </row>
    <row r="63" spans="1:5">
      <c r="A63" s="9" t="s">
        <v>314</v>
      </c>
      <c r="B63" t="s">
        <v>598</v>
      </c>
      <c r="C63" t="s">
        <v>538</v>
      </c>
      <c r="D63" t="s">
        <v>530</v>
      </c>
      <c r="E63" s="1">
        <v>45260</v>
      </c>
    </row>
    <row r="64" spans="1:5">
      <c r="A64" s="9" t="s">
        <v>241</v>
      </c>
      <c r="B64" t="s">
        <v>599</v>
      </c>
      <c r="C64" t="s">
        <v>535</v>
      </c>
      <c r="D64" t="s">
        <v>527</v>
      </c>
      <c r="E64" s="1">
        <v>45560</v>
      </c>
    </row>
    <row r="65" spans="1:5">
      <c r="A65" s="9" t="s">
        <v>329</v>
      </c>
      <c r="B65" t="s">
        <v>600</v>
      </c>
      <c r="C65" t="s">
        <v>533</v>
      </c>
      <c r="D65" t="s">
        <v>527</v>
      </c>
      <c r="E65" s="1">
        <v>45386</v>
      </c>
    </row>
    <row r="66" spans="1:5">
      <c r="A66" s="9" t="s">
        <v>330</v>
      </c>
      <c r="B66" t="s">
        <v>601</v>
      </c>
      <c r="C66" t="s">
        <v>533</v>
      </c>
      <c r="D66" t="s">
        <v>527</v>
      </c>
      <c r="E66" s="1">
        <v>45428</v>
      </c>
    </row>
    <row r="67" spans="1:5">
      <c r="A67" s="9" t="s">
        <v>261</v>
      </c>
      <c r="B67" t="s">
        <v>602</v>
      </c>
      <c r="C67" t="s">
        <v>535</v>
      </c>
      <c r="D67" t="s">
        <v>541</v>
      </c>
      <c r="E67" s="1">
        <v>45432</v>
      </c>
    </row>
    <row r="68" spans="1:5">
      <c r="A68" s="9" t="s">
        <v>155</v>
      </c>
      <c r="B68" t="s">
        <v>603</v>
      </c>
      <c r="C68" t="s">
        <v>526</v>
      </c>
      <c r="D68" t="s">
        <v>530</v>
      </c>
      <c r="E68" s="1">
        <v>45122</v>
      </c>
    </row>
    <row r="69" spans="1:5">
      <c r="A69" s="9" t="s">
        <v>270</v>
      </c>
      <c r="B69" t="s">
        <v>604</v>
      </c>
      <c r="C69" t="s">
        <v>533</v>
      </c>
      <c r="D69" t="s">
        <v>530</v>
      </c>
      <c r="E69" s="1">
        <v>45319</v>
      </c>
    </row>
    <row r="70" spans="1:5">
      <c r="A70" s="9" t="s">
        <v>366</v>
      </c>
      <c r="B70" t="s">
        <v>605</v>
      </c>
      <c r="C70" t="s">
        <v>529</v>
      </c>
      <c r="D70" t="s">
        <v>533</v>
      </c>
      <c r="E70" s="1">
        <v>45120</v>
      </c>
    </row>
    <row r="71" spans="1:5">
      <c r="A71" s="9" t="s">
        <v>140</v>
      </c>
      <c r="B71" t="s">
        <v>606</v>
      </c>
      <c r="C71" t="s">
        <v>526</v>
      </c>
      <c r="D71" t="s">
        <v>527</v>
      </c>
      <c r="E71" s="1">
        <v>45506</v>
      </c>
    </row>
    <row r="72" spans="1:5">
      <c r="A72" s="9" t="s">
        <v>388</v>
      </c>
      <c r="B72" t="s">
        <v>607</v>
      </c>
      <c r="C72" t="s">
        <v>529</v>
      </c>
      <c r="D72" t="s">
        <v>541</v>
      </c>
      <c r="E72" s="1">
        <v>45208</v>
      </c>
    </row>
    <row r="73" spans="1:5">
      <c r="A73" s="9" t="s">
        <v>608</v>
      </c>
      <c r="B73" t="s">
        <v>609</v>
      </c>
      <c r="C73" t="s">
        <v>526</v>
      </c>
      <c r="D73" t="s">
        <v>527</v>
      </c>
      <c r="E73" s="1">
        <v>45380</v>
      </c>
    </row>
    <row r="74" spans="1:5">
      <c r="A74" s="9" t="s">
        <v>228</v>
      </c>
      <c r="B74" t="s">
        <v>610</v>
      </c>
      <c r="C74" t="s">
        <v>533</v>
      </c>
      <c r="D74" t="s">
        <v>536</v>
      </c>
      <c r="E74" s="1">
        <v>45207</v>
      </c>
    </row>
    <row r="75" spans="1:5">
      <c r="A75" s="9" t="s">
        <v>406</v>
      </c>
      <c r="B75" t="s">
        <v>611</v>
      </c>
      <c r="C75" t="s">
        <v>533</v>
      </c>
      <c r="D75" t="s">
        <v>527</v>
      </c>
      <c r="E75" s="1">
        <v>45136</v>
      </c>
    </row>
    <row r="76" spans="1:5">
      <c r="A76" s="9" t="s">
        <v>232</v>
      </c>
      <c r="B76" t="s">
        <v>612</v>
      </c>
      <c r="C76" t="s">
        <v>533</v>
      </c>
      <c r="D76" t="s">
        <v>541</v>
      </c>
      <c r="E76" s="1">
        <v>45553</v>
      </c>
    </row>
    <row r="77" spans="1:5">
      <c r="A77" s="9" t="s">
        <v>274</v>
      </c>
      <c r="B77" t="s">
        <v>613</v>
      </c>
      <c r="C77" t="s">
        <v>544</v>
      </c>
      <c r="D77" t="s">
        <v>536</v>
      </c>
      <c r="E77" s="1">
        <v>45271</v>
      </c>
    </row>
    <row r="78" spans="1:5">
      <c r="A78" s="9" t="s">
        <v>163</v>
      </c>
      <c r="B78" t="s">
        <v>614</v>
      </c>
      <c r="C78" t="s">
        <v>535</v>
      </c>
      <c r="D78" t="s">
        <v>527</v>
      </c>
      <c r="E78" s="1">
        <v>44983</v>
      </c>
    </row>
    <row r="79" spans="1:5">
      <c r="A79" s="9" t="s">
        <v>116</v>
      </c>
      <c r="B79" t="s">
        <v>615</v>
      </c>
      <c r="C79" t="s">
        <v>529</v>
      </c>
      <c r="D79" t="s">
        <v>541</v>
      </c>
      <c r="E79" s="1">
        <v>45320</v>
      </c>
    </row>
    <row r="80" spans="1:5">
      <c r="A80" s="9" t="s">
        <v>256</v>
      </c>
      <c r="B80" t="s">
        <v>616</v>
      </c>
      <c r="C80" t="s">
        <v>544</v>
      </c>
      <c r="D80" t="s">
        <v>533</v>
      </c>
      <c r="E80" s="1">
        <v>45370</v>
      </c>
    </row>
    <row r="81" spans="1:5">
      <c r="A81" s="9" t="s">
        <v>194</v>
      </c>
      <c r="B81" t="s">
        <v>617</v>
      </c>
      <c r="C81" t="s">
        <v>535</v>
      </c>
      <c r="D81" t="s">
        <v>541</v>
      </c>
      <c r="E81" s="1">
        <v>45250</v>
      </c>
    </row>
    <row r="82" spans="1:5">
      <c r="A82" s="9" t="s">
        <v>222</v>
      </c>
      <c r="B82" t="s">
        <v>618</v>
      </c>
      <c r="C82" t="s">
        <v>544</v>
      </c>
      <c r="D82" t="s">
        <v>527</v>
      </c>
      <c r="E82" s="1">
        <v>45303</v>
      </c>
    </row>
    <row r="83" spans="1:5">
      <c r="A83" s="9" t="s">
        <v>111</v>
      </c>
      <c r="B83" t="s">
        <v>619</v>
      </c>
      <c r="C83" t="s">
        <v>535</v>
      </c>
      <c r="D83" t="s">
        <v>541</v>
      </c>
      <c r="E83" s="1">
        <v>45078</v>
      </c>
    </row>
    <row r="84" spans="1:5">
      <c r="A84" s="9" t="s">
        <v>347</v>
      </c>
      <c r="B84" t="s">
        <v>620</v>
      </c>
      <c r="C84" t="s">
        <v>526</v>
      </c>
      <c r="D84" t="s">
        <v>530</v>
      </c>
      <c r="E84" s="1">
        <v>45310</v>
      </c>
    </row>
    <row r="85" spans="1:5">
      <c r="A85" s="9" t="s">
        <v>114</v>
      </c>
      <c r="B85" t="s">
        <v>621</v>
      </c>
      <c r="C85" t="s">
        <v>544</v>
      </c>
      <c r="D85" t="s">
        <v>533</v>
      </c>
      <c r="E85" s="1">
        <v>45491</v>
      </c>
    </row>
    <row r="86" spans="1:5">
      <c r="A86" s="9" t="s">
        <v>303</v>
      </c>
      <c r="B86" t="s">
        <v>622</v>
      </c>
      <c r="C86" t="s">
        <v>526</v>
      </c>
      <c r="D86" t="s">
        <v>533</v>
      </c>
      <c r="E86" s="1">
        <v>45171</v>
      </c>
    </row>
    <row r="87" spans="1:5">
      <c r="A87" s="9" t="s">
        <v>128</v>
      </c>
      <c r="B87" t="s">
        <v>623</v>
      </c>
      <c r="C87" t="s">
        <v>529</v>
      </c>
      <c r="D87" t="s">
        <v>541</v>
      </c>
      <c r="E87" s="1">
        <v>45424</v>
      </c>
    </row>
    <row r="88" spans="1:5">
      <c r="A88" s="9" t="s">
        <v>369</v>
      </c>
      <c r="B88" t="s">
        <v>624</v>
      </c>
      <c r="C88" t="s">
        <v>544</v>
      </c>
      <c r="D88" t="s">
        <v>527</v>
      </c>
      <c r="E88" s="1">
        <v>45288</v>
      </c>
    </row>
    <row r="89" spans="1:5">
      <c r="A89" s="9" t="s">
        <v>143</v>
      </c>
      <c r="B89" t="s">
        <v>625</v>
      </c>
      <c r="C89" t="s">
        <v>538</v>
      </c>
      <c r="D89" t="s">
        <v>530</v>
      </c>
      <c r="E89" s="1">
        <v>45368</v>
      </c>
    </row>
    <row r="90" spans="1:5">
      <c r="A90" s="9" t="s">
        <v>391</v>
      </c>
      <c r="B90" t="s">
        <v>626</v>
      </c>
      <c r="C90" t="s">
        <v>526</v>
      </c>
      <c r="D90" t="s">
        <v>536</v>
      </c>
      <c r="E90" s="1">
        <v>45400</v>
      </c>
    </row>
    <row r="91" spans="1:5">
      <c r="A91" s="9" t="s">
        <v>131</v>
      </c>
      <c r="B91" t="s">
        <v>627</v>
      </c>
      <c r="C91" t="s">
        <v>535</v>
      </c>
      <c r="D91" t="s">
        <v>527</v>
      </c>
      <c r="E91" s="1">
        <v>45064</v>
      </c>
    </row>
    <row r="92" spans="1:5">
      <c r="A92" s="9" t="s">
        <v>106</v>
      </c>
      <c r="B92" t="s">
        <v>628</v>
      </c>
      <c r="C92" t="s">
        <v>535</v>
      </c>
      <c r="D92" t="s">
        <v>533</v>
      </c>
      <c r="E92" s="1">
        <v>44980</v>
      </c>
    </row>
    <row r="93" spans="1:5">
      <c r="A93" s="9" t="s">
        <v>392</v>
      </c>
      <c r="B93" t="s">
        <v>629</v>
      </c>
      <c r="C93" t="s">
        <v>538</v>
      </c>
      <c r="D93" t="s">
        <v>536</v>
      </c>
      <c r="E93" s="1">
        <v>45497</v>
      </c>
    </row>
    <row r="94" spans="1:5">
      <c r="A94" s="9" t="s">
        <v>76</v>
      </c>
      <c r="B94" t="s">
        <v>630</v>
      </c>
      <c r="C94" t="s">
        <v>526</v>
      </c>
      <c r="D94" t="s">
        <v>530</v>
      </c>
      <c r="E94" s="1">
        <v>45215</v>
      </c>
    </row>
    <row r="95" spans="1:5">
      <c r="A95" s="9" t="s">
        <v>259</v>
      </c>
      <c r="B95" t="s">
        <v>631</v>
      </c>
      <c r="C95" t="s">
        <v>526</v>
      </c>
      <c r="D95" t="s">
        <v>533</v>
      </c>
      <c r="E95" s="1">
        <v>45576</v>
      </c>
    </row>
    <row r="96" spans="1:5">
      <c r="A96" s="9" t="s">
        <v>64</v>
      </c>
      <c r="B96" t="s">
        <v>632</v>
      </c>
      <c r="C96" t="s">
        <v>533</v>
      </c>
      <c r="D96" t="s">
        <v>541</v>
      </c>
      <c r="E96" s="1">
        <v>45491</v>
      </c>
    </row>
    <row r="97" spans="1:5">
      <c r="A97" s="9" t="s">
        <v>196</v>
      </c>
      <c r="B97" t="s">
        <v>633</v>
      </c>
      <c r="C97" t="s">
        <v>529</v>
      </c>
      <c r="D97" t="s">
        <v>533</v>
      </c>
      <c r="E97" s="1">
        <v>45110</v>
      </c>
    </row>
    <row r="98" spans="1:5">
      <c r="A98" s="9" t="s">
        <v>381</v>
      </c>
      <c r="B98" t="s">
        <v>634</v>
      </c>
      <c r="C98" t="s">
        <v>529</v>
      </c>
      <c r="D98" t="s">
        <v>533</v>
      </c>
      <c r="E98" s="1">
        <v>45053</v>
      </c>
    </row>
    <row r="99" spans="1:5">
      <c r="A99" s="9" t="s">
        <v>62</v>
      </c>
      <c r="B99" t="s">
        <v>635</v>
      </c>
      <c r="C99" t="s">
        <v>526</v>
      </c>
      <c r="D99" t="s">
        <v>541</v>
      </c>
      <c r="E99" s="1">
        <v>45574</v>
      </c>
    </row>
    <row r="100" spans="1:5">
      <c r="A100" s="9" t="s">
        <v>394</v>
      </c>
      <c r="B100" t="s">
        <v>636</v>
      </c>
      <c r="C100" t="s">
        <v>544</v>
      </c>
      <c r="D100" t="s">
        <v>541</v>
      </c>
      <c r="E100" s="1">
        <v>44969</v>
      </c>
    </row>
    <row r="101" spans="1:5">
      <c r="A101" s="9" t="s">
        <v>332</v>
      </c>
      <c r="B101" t="s">
        <v>637</v>
      </c>
      <c r="C101" t="s">
        <v>533</v>
      </c>
      <c r="D101" t="s">
        <v>541</v>
      </c>
      <c r="E101" s="1">
        <v>45571</v>
      </c>
    </row>
    <row r="102" spans="1:5">
      <c r="A102" s="9" t="s">
        <v>237</v>
      </c>
      <c r="B102" t="s">
        <v>638</v>
      </c>
      <c r="C102" t="s">
        <v>526</v>
      </c>
      <c r="D102" t="s">
        <v>533</v>
      </c>
      <c r="E102" s="1">
        <v>45053</v>
      </c>
    </row>
    <row r="103" spans="1:5">
      <c r="A103" s="9" t="s">
        <v>342</v>
      </c>
      <c r="B103" t="s">
        <v>639</v>
      </c>
      <c r="C103" t="s">
        <v>529</v>
      </c>
      <c r="D103" t="s">
        <v>533</v>
      </c>
      <c r="E103" s="1">
        <v>44987</v>
      </c>
    </row>
    <row r="104" spans="1:5">
      <c r="A104" s="9" t="s">
        <v>226</v>
      </c>
      <c r="B104" t="s">
        <v>640</v>
      </c>
      <c r="C104" t="s">
        <v>535</v>
      </c>
      <c r="D104" t="s">
        <v>527</v>
      </c>
      <c r="E104" s="1">
        <v>44994</v>
      </c>
    </row>
    <row r="105" spans="1:5">
      <c r="A105" s="9" t="s">
        <v>36</v>
      </c>
      <c r="B105" t="s">
        <v>641</v>
      </c>
      <c r="C105" t="s">
        <v>535</v>
      </c>
      <c r="D105" t="s">
        <v>533</v>
      </c>
      <c r="E105" s="1">
        <v>45333</v>
      </c>
    </row>
    <row r="106" spans="1:5">
      <c r="A106" s="9" t="s">
        <v>398</v>
      </c>
      <c r="B106" t="s">
        <v>642</v>
      </c>
      <c r="C106" t="s">
        <v>535</v>
      </c>
      <c r="D106" t="s">
        <v>533</v>
      </c>
      <c r="E106" s="1">
        <v>45571</v>
      </c>
    </row>
    <row r="107" spans="1:5">
      <c r="A107" s="9" t="s">
        <v>285</v>
      </c>
      <c r="B107" t="s">
        <v>643</v>
      </c>
      <c r="C107" t="s">
        <v>538</v>
      </c>
      <c r="D107" t="s">
        <v>541</v>
      </c>
      <c r="E107" s="1">
        <v>45071</v>
      </c>
    </row>
    <row r="108" spans="1:5">
      <c r="A108" s="9" t="s">
        <v>188</v>
      </c>
      <c r="B108" t="s">
        <v>644</v>
      </c>
      <c r="C108" t="s">
        <v>533</v>
      </c>
      <c r="D108" t="s">
        <v>541</v>
      </c>
      <c r="E108" s="1">
        <v>45404</v>
      </c>
    </row>
    <row r="109" spans="1:5">
      <c r="A109" s="9" t="s">
        <v>385</v>
      </c>
      <c r="B109" t="s">
        <v>645</v>
      </c>
      <c r="C109" t="s">
        <v>529</v>
      </c>
      <c r="D109" t="s">
        <v>536</v>
      </c>
      <c r="E109" s="1">
        <v>45276</v>
      </c>
    </row>
    <row r="110" spans="1:5">
      <c r="A110" s="9" t="s">
        <v>353</v>
      </c>
      <c r="B110" t="s">
        <v>646</v>
      </c>
      <c r="C110" t="s">
        <v>526</v>
      </c>
      <c r="D110" t="s">
        <v>527</v>
      </c>
      <c r="E110" s="1">
        <v>45550</v>
      </c>
    </row>
    <row r="111" spans="1:5">
      <c r="A111" s="9" t="s">
        <v>404</v>
      </c>
      <c r="B111" t="s">
        <v>647</v>
      </c>
      <c r="C111" t="s">
        <v>544</v>
      </c>
      <c r="D111" t="s">
        <v>536</v>
      </c>
      <c r="E111" s="1">
        <v>44968</v>
      </c>
    </row>
    <row r="112" spans="1:5">
      <c r="A112" s="9" t="s">
        <v>191</v>
      </c>
      <c r="B112" t="s">
        <v>648</v>
      </c>
      <c r="C112" t="s">
        <v>533</v>
      </c>
      <c r="D112" t="s">
        <v>533</v>
      </c>
      <c r="E112" s="1">
        <v>45345</v>
      </c>
    </row>
    <row r="113" spans="1:5">
      <c r="A113" s="9" t="s">
        <v>136</v>
      </c>
      <c r="B113" t="s">
        <v>649</v>
      </c>
      <c r="C113" t="s">
        <v>526</v>
      </c>
      <c r="D113" t="s">
        <v>527</v>
      </c>
      <c r="E113" s="1">
        <v>45577</v>
      </c>
    </row>
    <row r="114" spans="1:5">
      <c r="A114" s="9" t="s">
        <v>337</v>
      </c>
      <c r="B114" t="s">
        <v>650</v>
      </c>
      <c r="C114" t="s">
        <v>535</v>
      </c>
      <c r="D114" t="s">
        <v>536</v>
      </c>
      <c r="E114" s="1">
        <v>45402</v>
      </c>
    </row>
    <row r="115" spans="1:5">
      <c r="A115" s="9" t="s">
        <v>33</v>
      </c>
      <c r="B115" t="s">
        <v>651</v>
      </c>
      <c r="C115" t="s">
        <v>538</v>
      </c>
      <c r="D115" t="s">
        <v>527</v>
      </c>
      <c r="E115" s="1">
        <v>45108</v>
      </c>
    </row>
    <row r="116" spans="1:5">
      <c r="A116" s="9" t="s">
        <v>255</v>
      </c>
      <c r="B116" t="s">
        <v>652</v>
      </c>
      <c r="C116" t="s">
        <v>535</v>
      </c>
      <c r="D116" t="s">
        <v>530</v>
      </c>
      <c r="E116" s="1">
        <v>45117</v>
      </c>
    </row>
    <row r="117" spans="1:5">
      <c r="A117" s="9" t="s">
        <v>162</v>
      </c>
      <c r="B117" t="s">
        <v>653</v>
      </c>
      <c r="C117" t="s">
        <v>529</v>
      </c>
      <c r="D117" t="s">
        <v>536</v>
      </c>
      <c r="E117" s="1">
        <v>45570</v>
      </c>
    </row>
    <row r="118" spans="1:5">
      <c r="A118" s="9" t="s">
        <v>42</v>
      </c>
      <c r="B118" t="s">
        <v>654</v>
      </c>
      <c r="C118" t="s">
        <v>544</v>
      </c>
      <c r="D118" t="s">
        <v>533</v>
      </c>
      <c r="E118" s="1">
        <v>45166</v>
      </c>
    </row>
    <row r="119" spans="1:5">
      <c r="A119" s="9" t="s">
        <v>309</v>
      </c>
      <c r="B119" t="s">
        <v>655</v>
      </c>
      <c r="C119" t="s">
        <v>544</v>
      </c>
      <c r="D119" t="s">
        <v>536</v>
      </c>
      <c r="E119" s="1">
        <v>45329</v>
      </c>
    </row>
    <row r="120" spans="1:5">
      <c r="A120" s="9" t="s">
        <v>121</v>
      </c>
      <c r="B120" t="s">
        <v>656</v>
      </c>
      <c r="C120" t="s">
        <v>526</v>
      </c>
      <c r="D120" t="s">
        <v>541</v>
      </c>
      <c r="E120" s="1">
        <v>45448</v>
      </c>
    </row>
    <row r="121" spans="1:5">
      <c r="A121" s="9" t="s">
        <v>78</v>
      </c>
      <c r="B121" t="s">
        <v>657</v>
      </c>
      <c r="C121" t="s">
        <v>538</v>
      </c>
      <c r="D121" t="s">
        <v>533</v>
      </c>
      <c r="E121" s="1">
        <v>45314</v>
      </c>
    </row>
    <row r="122" spans="1:5">
      <c r="A122" s="9" t="s">
        <v>30</v>
      </c>
      <c r="B122" t="s">
        <v>658</v>
      </c>
      <c r="C122" t="s">
        <v>526</v>
      </c>
      <c r="D122" t="s">
        <v>541</v>
      </c>
      <c r="E122" s="1">
        <v>45556</v>
      </c>
    </row>
    <row r="123" spans="1:5">
      <c r="A123" s="9" t="s">
        <v>386</v>
      </c>
      <c r="B123" t="s">
        <v>659</v>
      </c>
      <c r="C123" t="s">
        <v>533</v>
      </c>
      <c r="D123" t="s">
        <v>536</v>
      </c>
      <c r="E123" s="1">
        <v>45523</v>
      </c>
    </row>
    <row r="124" spans="1:5">
      <c r="A124" s="9" t="s">
        <v>371</v>
      </c>
      <c r="B124" t="s">
        <v>660</v>
      </c>
      <c r="C124" t="s">
        <v>538</v>
      </c>
      <c r="D124" t="s">
        <v>536</v>
      </c>
      <c r="E124" s="1">
        <v>45388</v>
      </c>
    </row>
    <row r="125" spans="1:5">
      <c r="A125" s="9" t="s">
        <v>408</v>
      </c>
      <c r="B125" t="s">
        <v>661</v>
      </c>
      <c r="C125" t="s">
        <v>526</v>
      </c>
      <c r="D125" t="s">
        <v>536</v>
      </c>
      <c r="E125" s="1">
        <v>45504</v>
      </c>
    </row>
    <row r="126" spans="1:5">
      <c r="A126" s="9" t="s">
        <v>234</v>
      </c>
      <c r="B126" t="s">
        <v>662</v>
      </c>
      <c r="C126" t="s">
        <v>526</v>
      </c>
      <c r="D126" t="s">
        <v>527</v>
      </c>
      <c r="E126" s="1">
        <v>45300</v>
      </c>
    </row>
    <row r="127" spans="1:5">
      <c r="A127" s="9" t="s">
        <v>349</v>
      </c>
      <c r="B127" t="s">
        <v>663</v>
      </c>
      <c r="C127" t="s">
        <v>535</v>
      </c>
      <c r="D127" t="s">
        <v>527</v>
      </c>
      <c r="E127" s="1">
        <v>45553</v>
      </c>
    </row>
    <row r="128" spans="1:5">
      <c r="A128" s="9" t="s">
        <v>294</v>
      </c>
      <c r="B128" t="s">
        <v>664</v>
      </c>
      <c r="C128" t="s">
        <v>533</v>
      </c>
      <c r="D128" t="s">
        <v>536</v>
      </c>
      <c r="E128" s="1">
        <v>45228</v>
      </c>
    </row>
    <row r="129" spans="1:5">
      <c r="A129" s="9" t="s">
        <v>105</v>
      </c>
      <c r="B129" t="s">
        <v>665</v>
      </c>
      <c r="C129" t="s">
        <v>535</v>
      </c>
      <c r="D129" t="s">
        <v>527</v>
      </c>
      <c r="E129" s="1">
        <v>45431</v>
      </c>
    </row>
    <row r="130" spans="1:5">
      <c r="A130" s="9" t="s">
        <v>292</v>
      </c>
      <c r="B130" t="s">
        <v>666</v>
      </c>
      <c r="C130" t="s">
        <v>526</v>
      </c>
      <c r="D130" t="s">
        <v>541</v>
      </c>
      <c r="E130" s="1">
        <v>45250</v>
      </c>
    </row>
    <row r="131" spans="1:5">
      <c r="A131" s="9" t="s">
        <v>667</v>
      </c>
      <c r="B131" t="s">
        <v>668</v>
      </c>
      <c r="C131" t="s">
        <v>544</v>
      </c>
      <c r="D131" t="s">
        <v>541</v>
      </c>
      <c r="E131" s="1">
        <v>45397</v>
      </c>
    </row>
    <row r="132" spans="1:5">
      <c r="A132" s="9" t="s">
        <v>168</v>
      </c>
      <c r="B132" t="s">
        <v>669</v>
      </c>
      <c r="C132" t="s">
        <v>535</v>
      </c>
      <c r="D132" t="s">
        <v>530</v>
      </c>
      <c r="E132" s="1">
        <v>44949</v>
      </c>
    </row>
    <row r="133" spans="1:5">
      <c r="A133" s="9" t="s">
        <v>51</v>
      </c>
      <c r="B133" t="s">
        <v>670</v>
      </c>
      <c r="C133" t="s">
        <v>529</v>
      </c>
      <c r="D133" t="s">
        <v>527</v>
      </c>
      <c r="E133" s="1">
        <v>44937</v>
      </c>
    </row>
    <row r="134" spans="1:5">
      <c r="A134" s="9" t="s">
        <v>249</v>
      </c>
      <c r="B134" t="s">
        <v>671</v>
      </c>
      <c r="C134" t="s">
        <v>544</v>
      </c>
      <c r="D134" t="s">
        <v>533</v>
      </c>
      <c r="E134" s="1">
        <v>45560</v>
      </c>
    </row>
    <row r="135" spans="1:5">
      <c r="A135" s="9" t="s">
        <v>17</v>
      </c>
      <c r="B135" t="s">
        <v>672</v>
      </c>
      <c r="C135" t="s">
        <v>544</v>
      </c>
      <c r="D135" t="s">
        <v>530</v>
      </c>
      <c r="E135" s="1">
        <v>45096</v>
      </c>
    </row>
    <row r="136" spans="1:5">
      <c r="A136" s="9" t="s">
        <v>72</v>
      </c>
      <c r="B136" t="s">
        <v>673</v>
      </c>
      <c r="C136" t="s">
        <v>538</v>
      </c>
      <c r="D136" t="s">
        <v>527</v>
      </c>
      <c r="E136" s="1">
        <v>45266</v>
      </c>
    </row>
    <row r="137" spans="1:5">
      <c r="A137" s="9" t="s">
        <v>368</v>
      </c>
      <c r="B137" t="s">
        <v>674</v>
      </c>
      <c r="C137" t="s">
        <v>526</v>
      </c>
      <c r="D137" t="s">
        <v>536</v>
      </c>
      <c r="E137" s="1">
        <v>45031</v>
      </c>
    </row>
    <row r="138" spans="1:5">
      <c r="A138" s="9" t="s">
        <v>348</v>
      </c>
      <c r="B138" t="s">
        <v>675</v>
      </c>
      <c r="C138" t="s">
        <v>526</v>
      </c>
      <c r="D138" t="s">
        <v>527</v>
      </c>
      <c r="E138" s="1">
        <v>45180</v>
      </c>
    </row>
    <row r="139" spans="1:5">
      <c r="A139" s="9" t="s">
        <v>49</v>
      </c>
      <c r="B139" t="s">
        <v>676</v>
      </c>
      <c r="C139" t="s">
        <v>544</v>
      </c>
      <c r="D139" t="s">
        <v>530</v>
      </c>
      <c r="E139" s="1">
        <v>45148</v>
      </c>
    </row>
    <row r="140" spans="1:5">
      <c r="A140" s="9" t="s">
        <v>47</v>
      </c>
      <c r="B140" t="s">
        <v>677</v>
      </c>
      <c r="C140" t="s">
        <v>526</v>
      </c>
      <c r="D140" t="s">
        <v>530</v>
      </c>
      <c r="E140" s="1">
        <v>45064</v>
      </c>
    </row>
    <row r="141" spans="1:5">
      <c r="A141" s="9" t="s">
        <v>67</v>
      </c>
      <c r="B141" t="s">
        <v>678</v>
      </c>
      <c r="C141" t="s">
        <v>526</v>
      </c>
      <c r="D141" t="s">
        <v>527</v>
      </c>
      <c r="E141" s="1">
        <v>44931</v>
      </c>
    </row>
    <row r="142" spans="1:5">
      <c r="A142" s="9" t="s">
        <v>119</v>
      </c>
      <c r="B142" t="s">
        <v>679</v>
      </c>
      <c r="C142" t="s">
        <v>538</v>
      </c>
      <c r="D142" t="s">
        <v>536</v>
      </c>
      <c r="E142" s="1">
        <v>45472</v>
      </c>
    </row>
    <row r="143" spans="1:5">
      <c r="A143" s="9" t="s">
        <v>79</v>
      </c>
      <c r="B143" t="s">
        <v>680</v>
      </c>
      <c r="C143" t="s">
        <v>538</v>
      </c>
      <c r="D143" t="s">
        <v>541</v>
      </c>
      <c r="E143" s="1">
        <v>45569</v>
      </c>
    </row>
    <row r="144" spans="1:5">
      <c r="A144" s="9" t="s">
        <v>243</v>
      </c>
      <c r="B144" t="s">
        <v>681</v>
      </c>
      <c r="C144" t="s">
        <v>533</v>
      </c>
      <c r="D144" t="s">
        <v>541</v>
      </c>
      <c r="E144" s="1">
        <v>45237</v>
      </c>
    </row>
    <row r="145" spans="1:5">
      <c r="A145" s="9" t="s">
        <v>117</v>
      </c>
      <c r="B145" t="s">
        <v>682</v>
      </c>
      <c r="C145" t="s">
        <v>529</v>
      </c>
      <c r="D145" t="s">
        <v>533</v>
      </c>
      <c r="E145" s="1">
        <v>45016</v>
      </c>
    </row>
    <row r="146" spans="1:5">
      <c r="A146" s="9" t="s">
        <v>98</v>
      </c>
      <c r="B146" t="s">
        <v>683</v>
      </c>
      <c r="C146" t="s">
        <v>544</v>
      </c>
      <c r="D146" t="s">
        <v>536</v>
      </c>
      <c r="E146" s="1">
        <v>44928</v>
      </c>
    </row>
    <row r="147" spans="1:5">
      <c r="A147" s="9" t="s">
        <v>200</v>
      </c>
      <c r="B147" t="s">
        <v>684</v>
      </c>
      <c r="C147" t="s">
        <v>526</v>
      </c>
      <c r="D147" t="s">
        <v>541</v>
      </c>
      <c r="E147" s="1">
        <v>45392</v>
      </c>
    </row>
    <row r="148" spans="1:5">
      <c r="A148" s="9" t="s">
        <v>306</v>
      </c>
      <c r="B148" t="s">
        <v>685</v>
      </c>
      <c r="C148" t="s">
        <v>529</v>
      </c>
      <c r="D148" t="s">
        <v>527</v>
      </c>
      <c r="E148" s="1">
        <v>44956</v>
      </c>
    </row>
    <row r="149" spans="1:5">
      <c r="A149" s="9" t="s">
        <v>686</v>
      </c>
      <c r="B149" t="s">
        <v>687</v>
      </c>
      <c r="C149" t="s">
        <v>529</v>
      </c>
      <c r="D149" t="s">
        <v>533</v>
      </c>
      <c r="E149" s="1">
        <v>45224</v>
      </c>
    </row>
    <row r="150" spans="1:5">
      <c r="A150" s="9" t="s">
        <v>171</v>
      </c>
      <c r="B150" t="s">
        <v>688</v>
      </c>
      <c r="C150" t="s">
        <v>526</v>
      </c>
      <c r="D150" t="s">
        <v>527</v>
      </c>
      <c r="E150" s="1">
        <v>44969</v>
      </c>
    </row>
    <row r="151" spans="1:5">
      <c r="A151" s="9" t="s">
        <v>173</v>
      </c>
      <c r="B151" t="s">
        <v>689</v>
      </c>
      <c r="C151" t="s">
        <v>535</v>
      </c>
      <c r="D151" t="s">
        <v>527</v>
      </c>
      <c r="E151" s="1">
        <v>45230</v>
      </c>
    </row>
    <row r="152" spans="1:5">
      <c r="A152" s="9" t="s">
        <v>272</v>
      </c>
      <c r="B152" t="s">
        <v>690</v>
      </c>
      <c r="C152" t="s">
        <v>526</v>
      </c>
      <c r="D152" t="s">
        <v>533</v>
      </c>
      <c r="E152" s="1">
        <v>45004</v>
      </c>
    </row>
    <row r="153" spans="1:5">
      <c r="A153" s="9" t="s">
        <v>225</v>
      </c>
      <c r="B153" t="s">
        <v>691</v>
      </c>
      <c r="C153" t="s">
        <v>526</v>
      </c>
      <c r="D153" t="s">
        <v>541</v>
      </c>
      <c r="E153" s="1">
        <v>45349</v>
      </c>
    </row>
    <row r="154" spans="1:5">
      <c r="A154" s="9" t="s">
        <v>384</v>
      </c>
      <c r="B154" t="s">
        <v>692</v>
      </c>
      <c r="C154" t="s">
        <v>533</v>
      </c>
      <c r="D154" t="s">
        <v>527</v>
      </c>
      <c r="E154" s="1">
        <v>45567</v>
      </c>
    </row>
    <row r="155" spans="1:5">
      <c r="A155" s="9" t="s">
        <v>86</v>
      </c>
      <c r="B155" t="s">
        <v>693</v>
      </c>
      <c r="C155" t="s">
        <v>533</v>
      </c>
      <c r="D155" t="s">
        <v>530</v>
      </c>
      <c r="E155" s="1">
        <v>45570</v>
      </c>
    </row>
    <row r="156" spans="1:5">
      <c r="A156" s="9" t="s">
        <v>40</v>
      </c>
      <c r="B156" t="s">
        <v>694</v>
      </c>
      <c r="C156" t="s">
        <v>544</v>
      </c>
      <c r="D156" t="s">
        <v>541</v>
      </c>
      <c r="E156" s="1">
        <v>45342</v>
      </c>
    </row>
    <row r="157" spans="1:5">
      <c r="A157" s="9" t="s">
        <v>374</v>
      </c>
      <c r="B157" t="s">
        <v>695</v>
      </c>
      <c r="C157" t="s">
        <v>529</v>
      </c>
      <c r="D157" t="s">
        <v>536</v>
      </c>
      <c r="E157" s="1">
        <v>45044</v>
      </c>
    </row>
    <row r="158" spans="1:5">
      <c r="A158" s="9" t="s">
        <v>125</v>
      </c>
      <c r="B158" t="s">
        <v>696</v>
      </c>
      <c r="C158" t="s">
        <v>544</v>
      </c>
      <c r="D158" t="s">
        <v>533</v>
      </c>
      <c r="E158" s="1">
        <v>45541</v>
      </c>
    </row>
    <row r="159" spans="1:5">
      <c r="A159" s="9" t="s">
        <v>208</v>
      </c>
      <c r="B159" t="s">
        <v>697</v>
      </c>
      <c r="C159" t="s">
        <v>535</v>
      </c>
      <c r="D159" t="s">
        <v>536</v>
      </c>
      <c r="E159" s="1">
        <v>44958</v>
      </c>
    </row>
    <row r="160" spans="1:5">
      <c r="A160" s="9" t="s">
        <v>350</v>
      </c>
      <c r="B160" t="s">
        <v>698</v>
      </c>
      <c r="C160" t="s">
        <v>535</v>
      </c>
      <c r="D160" t="s">
        <v>533</v>
      </c>
      <c r="E160" s="1">
        <v>45094</v>
      </c>
    </row>
    <row r="161" spans="1:5">
      <c r="A161" s="9" t="s">
        <v>358</v>
      </c>
      <c r="B161" t="s">
        <v>699</v>
      </c>
      <c r="C161" t="s">
        <v>533</v>
      </c>
      <c r="D161" t="s">
        <v>530</v>
      </c>
      <c r="E161" s="1">
        <v>45392</v>
      </c>
    </row>
    <row r="162" spans="1:5">
      <c r="A162" s="9" t="s">
        <v>399</v>
      </c>
      <c r="B162" t="s">
        <v>700</v>
      </c>
      <c r="C162" t="s">
        <v>538</v>
      </c>
      <c r="D162" t="s">
        <v>533</v>
      </c>
      <c r="E162" s="1">
        <v>44993</v>
      </c>
    </row>
    <row r="163" spans="1:5">
      <c r="A163" s="9" t="s">
        <v>92</v>
      </c>
      <c r="B163" t="s">
        <v>701</v>
      </c>
      <c r="C163" t="s">
        <v>535</v>
      </c>
      <c r="D163" t="s">
        <v>541</v>
      </c>
      <c r="E163" s="1">
        <v>45014</v>
      </c>
    </row>
    <row r="164" spans="1:5">
      <c r="A164" s="9" t="s">
        <v>365</v>
      </c>
      <c r="B164" t="s">
        <v>702</v>
      </c>
      <c r="C164" t="s">
        <v>533</v>
      </c>
      <c r="D164" t="s">
        <v>541</v>
      </c>
      <c r="E164" s="1">
        <v>45437</v>
      </c>
    </row>
    <row r="165" spans="1:5">
      <c r="A165" s="9" t="s">
        <v>220</v>
      </c>
      <c r="B165" t="s">
        <v>703</v>
      </c>
      <c r="C165" t="s">
        <v>544</v>
      </c>
      <c r="D165" t="s">
        <v>533</v>
      </c>
      <c r="E165" s="1">
        <v>45048</v>
      </c>
    </row>
    <row r="166" spans="1:5">
      <c r="A166" s="9" t="s">
        <v>273</v>
      </c>
      <c r="B166" t="s">
        <v>704</v>
      </c>
      <c r="C166" t="s">
        <v>526</v>
      </c>
      <c r="D166" t="s">
        <v>541</v>
      </c>
      <c r="E166" s="1">
        <v>44989</v>
      </c>
    </row>
    <row r="167" spans="1:5">
      <c r="A167" s="9" t="s">
        <v>215</v>
      </c>
      <c r="B167" t="s">
        <v>705</v>
      </c>
      <c r="C167" t="s">
        <v>538</v>
      </c>
      <c r="D167" t="s">
        <v>536</v>
      </c>
      <c r="E167" s="1">
        <v>45425</v>
      </c>
    </row>
    <row r="168" spans="1:5">
      <c r="A168" s="9" t="s">
        <v>153</v>
      </c>
      <c r="B168" t="s">
        <v>706</v>
      </c>
      <c r="C168" t="s">
        <v>533</v>
      </c>
      <c r="D168" t="s">
        <v>541</v>
      </c>
      <c r="E168" s="1">
        <v>45456</v>
      </c>
    </row>
    <row r="169" spans="1:5">
      <c r="A169" s="9" t="s">
        <v>257</v>
      </c>
      <c r="B169" t="s">
        <v>707</v>
      </c>
      <c r="C169" t="s">
        <v>529</v>
      </c>
      <c r="D169" t="s">
        <v>530</v>
      </c>
      <c r="E169" s="1">
        <v>45042</v>
      </c>
    </row>
    <row r="170" spans="1:5">
      <c r="A170" s="9" t="s">
        <v>223</v>
      </c>
      <c r="B170" t="s">
        <v>708</v>
      </c>
      <c r="C170" t="s">
        <v>533</v>
      </c>
      <c r="D170" t="s">
        <v>530</v>
      </c>
      <c r="E170" s="1">
        <v>45214</v>
      </c>
    </row>
    <row r="171" spans="1:5">
      <c r="A171" s="9" t="s">
        <v>192</v>
      </c>
      <c r="B171" t="s">
        <v>709</v>
      </c>
      <c r="C171" t="s">
        <v>538</v>
      </c>
      <c r="D171" t="s">
        <v>536</v>
      </c>
      <c r="E171" s="1">
        <v>45551</v>
      </c>
    </row>
    <row r="172" spans="1:5">
      <c r="A172" s="9" t="s">
        <v>361</v>
      </c>
      <c r="B172" t="s">
        <v>710</v>
      </c>
      <c r="C172" t="s">
        <v>529</v>
      </c>
      <c r="D172" t="s">
        <v>527</v>
      </c>
      <c r="E172" s="1">
        <v>45410</v>
      </c>
    </row>
    <row r="173" spans="1:5">
      <c r="A173" s="9" t="s">
        <v>316</v>
      </c>
      <c r="B173" t="s">
        <v>711</v>
      </c>
      <c r="C173" t="s">
        <v>526</v>
      </c>
      <c r="D173" t="s">
        <v>541</v>
      </c>
      <c r="E173" s="1">
        <v>45425</v>
      </c>
    </row>
    <row r="174" spans="1:5">
      <c r="A174" s="9" t="s">
        <v>372</v>
      </c>
      <c r="B174" t="s">
        <v>712</v>
      </c>
      <c r="C174" t="s">
        <v>535</v>
      </c>
      <c r="D174" t="s">
        <v>530</v>
      </c>
      <c r="E174" s="1">
        <v>45471</v>
      </c>
    </row>
    <row r="175" spans="1:5">
      <c r="A175" s="9" t="s">
        <v>713</v>
      </c>
      <c r="B175" t="s">
        <v>714</v>
      </c>
      <c r="C175" t="s">
        <v>533</v>
      </c>
      <c r="D175" t="s">
        <v>527</v>
      </c>
      <c r="E175" s="1">
        <v>44956</v>
      </c>
    </row>
    <row r="176" spans="1:5">
      <c r="A176" s="9" t="s">
        <v>141</v>
      </c>
      <c r="B176" t="s">
        <v>715</v>
      </c>
      <c r="C176" t="s">
        <v>533</v>
      </c>
      <c r="D176" t="s">
        <v>541</v>
      </c>
      <c r="E176" s="1">
        <v>44964</v>
      </c>
    </row>
    <row r="177" spans="1:5">
      <c r="A177" s="9" t="s">
        <v>88</v>
      </c>
      <c r="B177" t="s">
        <v>716</v>
      </c>
      <c r="C177" t="s">
        <v>538</v>
      </c>
      <c r="D177" t="s">
        <v>536</v>
      </c>
      <c r="E177" s="1">
        <v>45277</v>
      </c>
    </row>
    <row r="178" spans="1:5">
      <c r="A178" s="9" t="s">
        <v>54</v>
      </c>
      <c r="B178" t="s">
        <v>717</v>
      </c>
      <c r="C178" t="s">
        <v>526</v>
      </c>
      <c r="D178" t="s">
        <v>527</v>
      </c>
      <c r="E178" s="1">
        <v>45398</v>
      </c>
    </row>
    <row r="179" spans="1:5">
      <c r="A179" s="9" t="s">
        <v>397</v>
      </c>
      <c r="B179" t="s">
        <v>718</v>
      </c>
      <c r="C179" t="s">
        <v>529</v>
      </c>
      <c r="D179" t="s">
        <v>533</v>
      </c>
      <c r="E179" s="1">
        <v>45219</v>
      </c>
    </row>
    <row r="180" spans="1:5">
      <c r="A180" s="9" t="s">
        <v>124</v>
      </c>
      <c r="B180" t="s">
        <v>719</v>
      </c>
      <c r="C180" t="s">
        <v>533</v>
      </c>
      <c r="D180" t="s">
        <v>530</v>
      </c>
      <c r="E180" s="1">
        <v>45059</v>
      </c>
    </row>
    <row r="181" spans="1:5">
      <c r="A181" s="9" t="s">
        <v>175</v>
      </c>
      <c r="B181" t="s">
        <v>720</v>
      </c>
      <c r="C181" t="s">
        <v>535</v>
      </c>
      <c r="D181" t="s">
        <v>541</v>
      </c>
      <c r="E181" s="1">
        <v>45551</v>
      </c>
    </row>
    <row r="182" spans="1:5">
      <c r="A182" s="9" t="s">
        <v>340</v>
      </c>
      <c r="B182" t="s">
        <v>721</v>
      </c>
      <c r="C182" t="s">
        <v>544</v>
      </c>
      <c r="D182" t="s">
        <v>536</v>
      </c>
      <c r="E182" s="1">
        <v>45140</v>
      </c>
    </row>
    <row r="183" spans="1:5">
      <c r="A183" s="9" t="s">
        <v>400</v>
      </c>
      <c r="B183" t="s">
        <v>722</v>
      </c>
      <c r="C183" t="s">
        <v>526</v>
      </c>
      <c r="D183" t="s">
        <v>536</v>
      </c>
      <c r="E183" s="1">
        <v>45070</v>
      </c>
    </row>
    <row r="184" spans="1:5">
      <c r="A184" s="9" t="s">
        <v>235</v>
      </c>
      <c r="B184" t="s">
        <v>723</v>
      </c>
      <c r="C184" t="s">
        <v>526</v>
      </c>
      <c r="D184" t="s">
        <v>541</v>
      </c>
      <c r="E184" s="1">
        <v>45489</v>
      </c>
    </row>
    <row r="185" spans="1:5">
      <c r="A185" s="9" t="s">
        <v>310</v>
      </c>
      <c r="B185" t="s">
        <v>724</v>
      </c>
      <c r="C185" t="s">
        <v>533</v>
      </c>
      <c r="D185" t="s">
        <v>541</v>
      </c>
      <c r="E185" s="1">
        <v>45232</v>
      </c>
    </row>
    <row r="186" spans="1:5">
      <c r="A186" s="9" t="s">
        <v>149</v>
      </c>
      <c r="B186" t="s">
        <v>725</v>
      </c>
      <c r="C186" t="s">
        <v>526</v>
      </c>
      <c r="D186" t="s">
        <v>533</v>
      </c>
      <c r="E186" s="1">
        <v>45355</v>
      </c>
    </row>
    <row r="187" spans="1:5">
      <c r="A187" s="9" t="s">
        <v>174</v>
      </c>
      <c r="B187" t="s">
        <v>726</v>
      </c>
      <c r="C187" t="s">
        <v>535</v>
      </c>
      <c r="D187" t="s">
        <v>533</v>
      </c>
      <c r="E187" s="1">
        <v>45060</v>
      </c>
    </row>
    <row r="188" spans="1:5">
      <c r="A188" s="9" t="s">
        <v>252</v>
      </c>
      <c r="B188" t="s">
        <v>727</v>
      </c>
      <c r="C188" t="s">
        <v>535</v>
      </c>
      <c r="D188" t="s">
        <v>536</v>
      </c>
      <c r="E188" s="1">
        <v>45067</v>
      </c>
    </row>
    <row r="189" spans="1:5">
      <c r="A189" s="9" t="s">
        <v>14</v>
      </c>
      <c r="B189" t="s">
        <v>728</v>
      </c>
      <c r="C189" t="s">
        <v>533</v>
      </c>
      <c r="D189" t="s">
        <v>533</v>
      </c>
      <c r="E189" s="1">
        <v>44981</v>
      </c>
    </row>
    <row r="190" spans="1:5">
      <c r="A190" s="9" t="s">
        <v>293</v>
      </c>
      <c r="B190" t="s">
        <v>729</v>
      </c>
      <c r="C190" t="s">
        <v>535</v>
      </c>
      <c r="D190" t="s">
        <v>527</v>
      </c>
      <c r="E190" s="1">
        <v>44999</v>
      </c>
    </row>
    <row r="191" spans="1:5">
      <c r="A191" s="9" t="s">
        <v>66</v>
      </c>
      <c r="B191" t="s">
        <v>730</v>
      </c>
      <c r="C191" t="s">
        <v>538</v>
      </c>
      <c r="D191" t="s">
        <v>527</v>
      </c>
      <c r="E191" s="1">
        <v>45468</v>
      </c>
    </row>
    <row r="192" spans="1:5">
      <c r="A192" s="9" t="s">
        <v>199</v>
      </c>
      <c r="B192" t="s">
        <v>731</v>
      </c>
      <c r="C192" t="s">
        <v>538</v>
      </c>
      <c r="D192" t="s">
        <v>533</v>
      </c>
      <c r="E192" s="1">
        <v>45504</v>
      </c>
    </row>
    <row r="193" spans="1:5">
      <c r="A193" s="9" t="s">
        <v>213</v>
      </c>
      <c r="B193" t="s">
        <v>732</v>
      </c>
      <c r="C193" t="s">
        <v>529</v>
      </c>
      <c r="D193" t="s">
        <v>533</v>
      </c>
      <c r="E193" s="1">
        <v>45120</v>
      </c>
    </row>
    <row r="194" spans="1:5">
      <c r="A194" s="9" t="s">
        <v>402</v>
      </c>
      <c r="B194" t="s">
        <v>733</v>
      </c>
      <c r="C194" t="s">
        <v>538</v>
      </c>
      <c r="D194" t="s">
        <v>536</v>
      </c>
      <c r="E194" s="1">
        <v>45185</v>
      </c>
    </row>
    <row r="195" spans="1:5">
      <c r="A195" s="9" t="s">
        <v>219</v>
      </c>
      <c r="B195" t="s">
        <v>734</v>
      </c>
      <c r="C195" t="s">
        <v>535</v>
      </c>
      <c r="D195" t="s">
        <v>533</v>
      </c>
      <c r="E195" s="1">
        <v>45292</v>
      </c>
    </row>
    <row r="196" spans="1:5">
      <c r="A196" s="9" t="s">
        <v>202</v>
      </c>
      <c r="B196" t="s">
        <v>735</v>
      </c>
      <c r="C196" t="s">
        <v>544</v>
      </c>
      <c r="D196" t="s">
        <v>541</v>
      </c>
      <c r="E196" s="1">
        <v>45490</v>
      </c>
    </row>
    <row r="197" spans="1:5">
      <c r="A197" s="9" t="s">
        <v>70</v>
      </c>
      <c r="B197" t="s">
        <v>736</v>
      </c>
      <c r="C197" t="s">
        <v>529</v>
      </c>
      <c r="D197" t="s">
        <v>530</v>
      </c>
      <c r="E197" s="1">
        <v>45399</v>
      </c>
    </row>
    <row r="198" spans="1:5">
      <c r="A198" s="9" t="s">
        <v>250</v>
      </c>
      <c r="B198" t="s">
        <v>737</v>
      </c>
      <c r="C198" t="s">
        <v>526</v>
      </c>
      <c r="D198" t="s">
        <v>530</v>
      </c>
      <c r="E198" s="1">
        <v>45009</v>
      </c>
    </row>
    <row r="199" spans="1:5">
      <c r="A199" s="9" t="s">
        <v>185</v>
      </c>
      <c r="B199" t="s">
        <v>738</v>
      </c>
      <c r="C199" t="s">
        <v>533</v>
      </c>
      <c r="D199" t="s">
        <v>530</v>
      </c>
      <c r="E199" s="1">
        <v>45510</v>
      </c>
    </row>
    <row r="200" spans="1:5">
      <c r="A200" s="9" t="s">
        <v>280</v>
      </c>
      <c r="B200" t="s">
        <v>739</v>
      </c>
      <c r="C200" t="s">
        <v>535</v>
      </c>
      <c r="D200" t="s">
        <v>527</v>
      </c>
      <c r="E200" s="1">
        <v>45198</v>
      </c>
    </row>
    <row r="201" spans="1:5">
      <c r="A201" s="9" t="s">
        <v>379</v>
      </c>
      <c r="B201" t="s">
        <v>740</v>
      </c>
      <c r="C201" t="s">
        <v>544</v>
      </c>
      <c r="D201" t="s">
        <v>541</v>
      </c>
      <c r="E201" s="1">
        <v>45164</v>
      </c>
    </row>
    <row r="202" spans="1:5">
      <c r="A202" s="9" t="s">
        <v>380</v>
      </c>
      <c r="B202" t="s">
        <v>741</v>
      </c>
      <c r="C202" t="s">
        <v>529</v>
      </c>
      <c r="D202" t="s">
        <v>530</v>
      </c>
      <c r="E202" s="1">
        <v>44936</v>
      </c>
    </row>
    <row r="203" spans="1:5">
      <c r="A203" s="9" t="s">
        <v>130</v>
      </c>
      <c r="B203" t="s">
        <v>742</v>
      </c>
      <c r="C203" t="s">
        <v>538</v>
      </c>
      <c r="D203" t="s">
        <v>533</v>
      </c>
      <c r="E203" s="1">
        <v>45291</v>
      </c>
    </row>
    <row r="204" spans="1:5">
      <c r="A204" s="9" t="s">
        <v>258</v>
      </c>
      <c r="B204" t="s">
        <v>743</v>
      </c>
      <c r="C204" t="s">
        <v>544</v>
      </c>
      <c r="D204" t="s">
        <v>533</v>
      </c>
      <c r="E204" s="1">
        <v>45098</v>
      </c>
    </row>
    <row r="205" spans="1:5">
      <c r="A205" s="9" t="s">
        <v>317</v>
      </c>
      <c r="B205" t="s">
        <v>744</v>
      </c>
      <c r="C205" t="s">
        <v>529</v>
      </c>
      <c r="D205" t="s">
        <v>530</v>
      </c>
      <c r="E205" s="1">
        <v>45498</v>
      </c>
    </row>
    <row r="206" spans="1:5">
      <c r="A206" s="9" t="s">
        <v>262</v>
      </c>
      <c r="B206" t="s">
        <v>745</v>
      </c>
      <c r="C206" t="s">
        <v>544</v>
      </c>
      <c r="D206" t="s">
        <v>530</v>
      </c>
      <c r="E206" s="1">
        <v>45303</v>
      </c>
    </row>
    <row r="207" spans="1:5">
      <c r="A207" s="9" t="s">
        <v>276</v>
      </c>
      <c r="B207" t="s">
        <v>746</v>
      </c>
      <c r="C207" t="s">
        <v>529</v>
      </c>
      <c r="D207" t="s">
        <v>536</v>
      </c>
      <c r="E207" s="1">
        <v>45335</v>
      </c>
    </row>
    <row r="208" spans="1:5">
      <c r="A208" s="9" t="s">
        <v>100</v>
      </c>
      <c r="B208" t="s">
        <v>747</v>
      </c>
      <c r="C208" t="s">
        <v>533</v>
      </c>
      <c r="D208" t="s">
        <v>527</v>
      </c>
      <c r="E208" s="1">
        <v>45140</v>
      </c>
    </row>
    <row r="209" spans="1:5">
      <c r="A209" s="9" t="s">
        <v>290</v>
      </c>
      <c r="B209" t="s">
        <v>748</v>
      </c>
      <c r="C209" t="s">
        <v>544</v>
      </c>
      <c r="D209" t="s">
        <v>533</v>
      </c>
      <c r="E209" s="1">
        <v>44952</v>
      </c>
    </row>
    <row r="210" spans="1:5">
      <c r="A210" s="9" t="s">
        <v>312</v>
      </c>
      <c r="B210" t="s">
        <v>749</v>
      </c>
      <c r="C210" t="s">
        <v>529</v>
      </c>
      <c r="D210" t="s">
        <v>527</v>
      </c>
      <c r="E210" s="1">
        <v>45423</v>
      </c>
    </row>
    <row r="211" spans="1:5">
      <c r="A211" s="9" t="s">
        <v>184</v>
      </c>
      <c r="B211" t="s">
        <v>750</v>
      </c>
      <c r="C211" t="s">
        <v>544</v>
      </c>
      <c r="D211" t="s">
        <v>533</v>
      </c>
      <c r="E211" s="1">
        <v>45430</v>
      </c>
    </row>
    <row r="212" spans="1:5">
      <c r="A212" s="9" t="s">
        <v>291</v>
      </c>
      <c r="B212" t="s">
        <v>751</v>
      </c>
      <c r="C212" t="s">
        <v>544</v>
      </c>
      <c r="D212" t="s">
        <v>541</v>
      </c>
      <c r="E212" s="1">
        <v>44947</v>
      </c>
    </row>
    <row r="213" spans="1:5">
      <c r="A213" s="9" t="s">
        <v>218</v>
      </c>
      <c r="B213" t="s">
        <v>752</v>
      </c>
      <c r="C213" t="s">
        <v>526</v>
      </c>
      <c r="D213" t="s">
        <v>541</v>
      </c>
      <c r="E213" s="1">
        <v>45034</v>
      </c>
    </row>
    <row r="214" spans="1:5">
      <c r="A214" s="9" t="s">
        <v>328</v>
      </c>
      <c r="B214" t="s">
        <v>753</v>
      </c>
      <c r="C214" t="s">
        <v>535</v>
      </c>
      <c r="D214" t="s">
        <v>530</v>
      </c>
      <c r="E214" s="1">
        <v>45345</v>
      </c>
    </row>
    <row r="215" spans="1:5">
      <c r="A215" s="9" t="s">
        <v>323</v>
      </c>
      <c r="B215" t="s">
        <v>754</v>
      </c>
      <c r="C215" t="s">
        <v>538</v>
      </c>
      <c r="D215" t="s">
        <v>533</v>
      </c>
      <c r="E215" s="1">
        <v>44948</v>
      </c>
    </row>
    <row r="216" spans="1:5">
      <c r="A216" s="9" t="s">
        <v>755</v>
      </c>
      <c r="B216" t="s">
        <v>756</v>
      </c>
      <c r="C216" t="s">
        <v>535</v>
      </c>
      <c r="D216" t="s">
        <v>536</v>
      </c>
      <c r="E216" s="1">
        <v>45187</v>
      </c>
    </row>
    <row r="217" spans="1:5">
      <c r="A217" s="9" t="s">
        <v>35</v>
      </c>
      <c r="B217" t="s">
        <v>757</v>
      </c>
      <c r="C217" t="s">
        <v>533</v>
      </c>
      <c r="D217" t="s">
        <v>530</v>
      </c>
      <c r="E217" s="1">
        <v>45467</v>
      </c>
    </row>
    <row r="218" spans="1:5">
      <c r="A218" s="9" t="s">
        <v>318</v>
      </c>
      <c r="B218" t="s">
        <v>758</v>
      </c>
      <c r="C218" t="s">
        <v>544</v>
      </c>
      <c r="D218" t="s">
        <v>533</v>
      </c>
      <c r="E218" s="1">
        <v>45285</v>
      </c>
    </row>
    <row r="219" spans="1:5">
      <c r="A219" s="9" t="s">
        <v>278</v>
      </c>
      <c r="B219" t="s">
        <v>759</v>
      </c>
      <c r="C219" t="s">
        <v>533</v>
      </c>
      <c r="D219" t="s">
        <v>536</v>
      </c>
      <c r="E219" s="1">
        <v>45271</v>
      </c>
    </row>
    <row r="220" spans="1:5">
      <c r="A220" s="9" t="s">
        <v>38</v>
      </c>
      <c r="B220" t="s">
        <v>760</v>
      </c>
      <c r="C220" t="s">
        <v>526</v>
      </c>
      <c r="D220" t="s">
        <v>527</v>
      </c>
      <c r="E220" s="1">
        <v>45392</v>
      </c>
    </row>
    <row r="221" spans="1:5">
      <c r="A221" s="9" t="s">
        <v>284</v>
      </c>
      <c r="B221" t="s">
        <v>761</v>
      </c>
      <c r="C221" t="s">
        <v>535</v>
      </c>
      <c r="D221" t="s">
        <v>533</v>
      </c>
      <c r="E221" s="1">
        <v>45175</v>
      </c>
    </row>
    <row r="222" spans="1:5">
      <c r="A222" s="9" t="s">
        <v>282</v>
      </c>
      <c r="B222" t="s">
        <v>762</v>
      </c>
      <c r="C222" t="s">
        <v>535</v>
      </c>
      <c r="D222" t="s">
        <v>533</v>
      </c>
      <c r="E222" s="1">
        <v>45256</v>
      </c>
    </row>
    <row r="223" spans="1:5">
      <c r="A223" s="9" t="s">
        <v>405</v>
      </c>
      <c r="B223" t="s">
        <v>763</v>
      </c>
      <c r="C223" t="s">
        <v>535</v>
      </c>
      <c r="D223" t="s">
        <v>533</v>
      </c>
      <c r="E223" s="1">
        <v>45261</v>
      </c>
    </row>
    <row r="224" spans="1:5">
      <c r="A224" s="9" t="s">
        <v>169</v>
      </c>
      <c r="B224" t="s">
        <v>764</v>
      </c>
      <c r="C224" t="s">
        <v>529</v>
      </c>
      <c r="D224" t="s">
        <v>530</v>
      </c>
      <c r="E224" s="1">
        <v>45028</v>
      </c>
    </row>
    <row r="225" spans="1:5">
      <c r="A225" s="9" t="s">
        <v>315</v>
      </c>
      <c r="B225" t="s">
        <v>765</v>
      </c>
      <c r="C225" t="s">
        <v>538</v>
      </c>
      <c r="D225" t="s">
        <v>527</v>
      </c>
      <c r="E225" s="1">
        <v>45212</v>
      </c>
    </row>
    <row r="226" spans="1:5">
      <c r="A226" s="9" t="s">
        <v>345</v>
      </c>
      <c r="B226" t="s">
        <v>766</v>
      </c>
      <c r="C226" t="s">
        <v>544</v>
      </c>
      <c r="D226" t="s">
        <v>536</v>
      </c>
      <c r="E226" s="1">
        <v>45128</v>
      </c>
    </row>
    <row r="227" spans="1:5">
      <c r="A227" s="9" t="s">
        <v>370</v>
      </c>
      <c r="B227" t="s">
        <v>767</v>
      </c>
      <c r="C227" t="s">
        <v>535</v>
      </c>
      <c r="D227" t="s">
        <v>541</v>
      </c>
      <c r="E227" s="1">
        <v>45368</v>
      </c>
    </row>
    <row r="228" spans="1:5">
      <c r="A228" s="9" t="s">
        <v>148</v>
      </c>
      <c r="B228" t="s">
        <v>768</v>
      </c>
      <c r="C228" t="s">
        <v>544</v>
      </c>
      <c r="D228" t="s">
        <v>527</v>
      </c>
      <c r="E228" s="1">
        <v>45215</v>
      </c>
    </row>
    <row r="229" spans="1:5">
      <c r="A229" s="9" t="s">
        <v>283</v>
      </c>
      <c r="B229" t="s">
        <v>769</v>
      </c>
      <c r="C229" t="s">
        <v>538</v>
      </c>
      <c r="D229" t="s">
        <v>533</v>
      </c>
      <c r="E229" s="1">
        <v>44935</v>
      </c>
    </row>
    <row r="230" spans="1:5">
      <c r="A230" s="9" t="s">
        <v>304</v>
      </c>
      <c r="B230" t="s">
        <v>770</v>
      </c>
      <c r="C230" t="s">
        <v>533</v>
      </c>
      <c r="D230" t="s">
        <v>533</v>
      </c>
      <c r="E230" s="1">
        <v>45348</v>
      </c>
    </row>
    <row r="231" spans="1:5">
      <c r="A231" s="9" t="s">
        <v>268</v>
      </c>
      <c r="B231" t="s">
        <v>771</v>
      </c>
      <c r="C231" t="s">
        <v>535</v>
      </c>
      <c r="D231" t="s">
        <v>530</v>
      </c>
      <c r="E231" s="1">
        <v>45563</v>
      </c>
    </row>
    <row r="232" spans="1:5">
      <c r="A232" s="9" t="s">
        <v>151</v>
      </c>
      <c r="B232" t="s">
        <v>772</v>
      </c>
      <c r="C232" t="s">
        <v>538</v>
      </c>
      <c r="D232" t="s">
        <v>541</v>
      </c>
      <c r="E232" s="1">
        <v>45416</v>
      </c>
    </row>
    <row r="233" spans="1:5">
      <c r="A233" s="9" t="s">
        <v>356</v>
      </c>
      <c r="B233" t="s">
        <v>773</v>
      </c>
      <c r="C233" t="s">
        <v>529</v>
      </c>
      <c r="D233" t="s">
        <v>541</v>
      </c>
      <c r="E233" s="1">
        <v>45440</v>
      </c>
    </row>
    <row r="234" spans="1:5">
      <c r="A234" s="9" t="s">
        <v>122</v>
      </c>
      <c r="B234" t="s">
        <v>774</v>
      </c>
      <c r="C234" t="s">
        <v>535</v>
      </c>
      <c r="D234" t="s">
        <v>541</v>
      </c>
      <c r="E234" s="1">
        <v>45451</v>
      </c>
    </row>
    <row r="235" spans="1:5">
      <c r="A235" s="9" t="s">
        <v>378</v>
      </c>
      <c r="B235" t="s">
        <v>775</v>
      </c>
      <c r="C235" t="s">
        <v>529</v>
      </c>
      <c r="D235" t="s">
        <v>541</v>
      </c>
      <c r="E235" s="1">
        <v>45038</v>
      </c>
    </row>
    <row r="236" spans="1:5">
      <c r="A236" s="9" t="s">
        <v>20</v>
      </c>
      <c r="B236" t="s">
        <v>776</v>
      </c>
      <c r="C236" t="s">
        <v>533</v>
      </c>
      <c r="D236" t="s">
        <v>536</v>
      </c>
      <c r="E236" s="1">
        <v>45099</v>
      </c>
    </row>
    <row r="237" spans="1:5">
      <c r="A237" s="9" t="s">
        <v>52</v>
      </c>
      <c r="B237" t="s">
        <v>777</v>
      </c>
      <c r="C237" t="s">
        <v>529</v>
      </c>
      <c r="D237" t="s">
        <v>541</v>
      </c>
      <c r="E237" s="1">
        <v>45278</v>
      </c>
    </row>
    <row r="238" spans="1:5">
      <c r="A238" s="9" t="s">
        <v>288</v>
      </c>
      <c r="B238" t="s">
        <v>778</v>
      </c>
      <c r="C238" t="s">
        <v>535</v>
      </c>
      <c r="D238" t="s">
        <v>541</v>
      </c>
      <c r="E238" s="1">
        <v>45293</v>
      </c>
    </row>
    <row r="239" spans="1:5">
      <c r="A239" s="9" t="s">
        <v>161</v>
      </c>
      <c r="B239" t="s">
        <v>779</v>
      </c>
      <c r="C239" t="s">
        <v>538</v>
      </c>
      <c r="D239" t="s">
        <v>530</v>
      </c>
      <c r="E239" s="1">
        <v>45247</v>
      </c>
    </row>
    <row r="240" spans="1:5">
      <c r="A240" s="9" t="s">
        <v>94</v>
      </c>
      <c r="B240" t="s">
        <v>780</v>
      </c>
      <c r="C240" t="s">
        <v>544</v>
      </c>
      <c r="D240" t="s">
        <v>527</v>
      </c>
      <c r="E240" s="1">
        <v>45223</v>
      </c>
    </row>
    <row r="241" spans="1:5">
      <c r="A241" s="9" t="s">
        <v>383</v>
      </c>
      <c r="B241" t="s">
        <v>781</v>
      </c>
      <c r="C241" t="s">
        <v>526</v>
      </c>
      <c r="D241" t="s">
        <v>533</v>
      </c>
      <c r="E241" s="1">
        <v>44981</v>
      </c>
    </row>
    <row r="242" spans="1:5">
      <c r="A242" s="9" t="s">
        <v>375</v>
      </c>
      <c r="B242" t="s">
        <v>782</v>
      </c>
      <c r="C242" t="s">
        <v>544</v>
      </c>
      <c r="D242" t="s">
        <v>527</v>
      </c>
      <c r="E242" s="1">
        <v>45444</v>
      </c>
    </row>
    <row r="243" spans="1:5">
      <c r="A243" s="9" t="s">
        <v>373</v>
      </c>
      <c r="B243" t="s">
        <v>783</v>
      </c>
      <c r="C243" t="s">
        <v>538</v>
      </c>
      <c r="D243" t="s">
        <v>541</v>
      </c>
      <c r="E243" s="1">
        <v>45226</v>
      </c>
    </row>
    <row r="244" spans="1:5">
      <c r="A244" s="9" t="s">
        <v>182</v>
      </c>
      <c r="B244" t="s">
        <v>784</v>
      </c>
      <c r="C244" t="s">
        <v>535</v>
      </c>
      <c r="D244" t="s">
        <v>533</v>
      </c>
      <c r="E244" s="1">
        <v>45106</v>
      </c>
    </row>
    <row r="245" spans="1:5">
      <c r="A245" s="9" t="s">
        <v>327</v>
      </c>
      <c r="B245" t="s">
        <v>785</v>
      </c>
      <c r="C245" t="s">
        <v>544</v>
      </c>
      <c r="D245" t="s">
        <v>541</v>
      </c>
      <c r="E245" s="1">
        <v>45039</v>
      </c>
    </row>
    <row r="246" spans="1:5">
      <c r="A246" s="9" t="s">
        <v>360</v>
      </c>
      <c r="B246" t="s">
        <v>786</v>
      </c>
      <c r="C246" t="s">
        <v>538</v>
      </c>
      <c r="D246" t="s">
        <v>541</v>
      </c>
      <c r="E246" s="1">
        <v>45541</v>
      </c>
    </row>
    <row r="247" spans="1:5">
      <c r="A247" s="9" t="s">
        <v>403</v>
      </c>
      <c r="B247" t="s">
        <v>787</v>
      </c>
      <c r="C247" t="s">
        <v>533</v>
      </c>
      <c r="D247" t="s">
        <v>530</v>
      </c>
      <c r="E247" s="1">
        <v>45268</v>
      </c>
    </row>
    <row r="248" spans="1:5">
      <c r="A248" s="9" t="s">
        <v>231</v>
      </c>
      <c r="B248" t="s">
        <v>788</v>
      </c>
      <c r="C248" t="s">
        <v>533</v>
      </c>
      <c r="D248" t="s">
        <v>541</v>
      </c>
      <c r="E248" s="1">
        <v>45137</v>
      </c>
    </row>
    <row r="249" spans="1:5">
      <c r="A249" s="9" t="s">
        <v>239</v>
      </c>
      <c r="B249" t="s">
        <v>789</v>
      </c>
      <c r="C249" t="s">
        <v>529</v>
      </c>
      <c r="D249" t="s">
        <v>533</v>
      </c>
      <c r="E249" s="1">
        <v>45413</v>
      </c>
    </row>
    <row r="250" spans="1:5">
      <c r="A250" s="9" t="s">
        <v>84</v>
      </c>
      <c r="B250" t="s">
        <v>790</v>
      </c>
      <c r="C250" t="s">
        <v>529</v>
      </c>
      <c r="D250" t="s">
        <v>533</v>
      </c>
      <c r="E250" s="1">
        <v>44969</v>
      </c>
    </row>
    <row r="251" spans="1:5">
      <c r="A251" s="9" t="s">
        <v>407</v>
      </c>
      <c r="B251" t="s">
        <v>791</v>
      </c>
      <c r="C251" t="s">
        <v>526</v>
      </c>
      <c r="D251" t="s">
        <v>536</v>
      </c>
      <c r="E251" s="1">
        <v>45480</v>
      </c>
    </row>
    <row r="252" spans="1:5">
      <c r="A252" s="9" t="s">
        <v>246</v>
      </c>
      <c r="B252" t="s">
        <v>792</v>
      </c>
      <c r="C252" t="s">
        <v>529</v>
      </c>
      <c r="D252" t="s">
        <v>530</v>
      </c>
      <c r="E252" s="1">
        <v>45532</v>
      </c>
    </row>
    <row r="253" spans="1:5">
      <c r="A253" s="9" t="s">
        <v>793</v>
      </c>
      <c r="B253" t="s">
        <v>794</v>
      </c>
      <c r="C253" t="s">
        <v>529</v>
      </c>
      <c r="D253" t="s">
        <v>530</v>
      </c>
      <c r="E253" s="1">
        <v>44991</v>
      </c>
    </row>
    <row r="254" spans="1:5">
      <c r="A254" s="9" t="s">
        <v>251</v>
      </c>
      <c r="B254" t="s">
        <v>795</v>
      </c>
      <c r="C254" t="s">
        <v>544</v>
      </c>
      <c r="D254" t="s">
        <v>536</v>
      </c>
      <c r="E254" s="1">
        <v>45077</v>
      </c>
    </row>
    <row r="255" spans="1:5">
      <c r="A255" s="9" t="s">
        <v>205</v>
      </c>
      <c r="B255" t="s">
        <v>796</v>
      </c>
      <c r="C255" t="s">
        <v>544</v>
      </c>
      <c r="D255" t="s">
        <v>530</v>
      </c>
      <c r="E255" s="1">
        <v>45554</v>
      </c>
    </row>
    <row r="256" spans="1:5">
      <c r="A256" s="9" t="s">
        <v>307</v>
      </c>
      <c r="B256" t="s">
        <v>797</v>
      </c>
      <c r="C256" t="s">
        <v>529</v>
      </c>
      <c r="D256" t="s">
        <v>530</v>
      </c>
      <c r="E256" s="1">
        <v>45324</v>
      </c>
    </row>
    <row r="257" spans="1:5">
      <c r="A257" s="9" t="s">
        <v>177</v>
      </c>
      <c r="B257" t="s">
        <v>798</v>
      </c>
      <c r="C257" t="s">
        <v>529</v>
      </c>
      <c r="D257" t="s">
        <v>541</v>
      </c>
      <c r="E257" s="1">
        <v>45538</v>
      </c>
    </row>
    <row r="258" spans="1:5">
      <c r="A258" s="9" t="s">
        <v>799</v>
      </c>
      <c r="B258" t="s">
        <v>800</v>
      </c>
      <c r="C258" t="s">
        <v>538</v>
      </c>
      <c r="D258" t="s">
        <v>530</v>
      </c>
      <c r="E258" s="1">
        <v>45420</v>
      </c>
    </row>
    <row r="259" spans="1:5">
      <c r="A259" s="9" t="s">
        <v>267</v>
      </c>
      <c r="B259" t="s">
        <v>801</v>
      </c>
      <c r="C259" t="s">
        <v>538</v>
      </c>
      <c r="D259" t="s">
        <v>541</v>
      </c>
      <c r="E259" s="1">
        <v>45453</v>
      </c>
    </row>
    <row r="260" spans="1:5">
      <c r="A260" s="9" t="s">
        <v>299</v>
      </c>
      <c r="B260" t="s">
        <v>802</v>
      </c>
      <c r="C260" t="s">
        <v>538</v>
      </c>
      <c r="D260" t="s">
        <v>530</v>
      </c>
      <c r="E260" s="1">
        <v>45117</v>
      </c>
    </row>
    <row r="261" spans="1:5">
      <c r="A261" s="9" t="s">
        <v>248</v>
      </c>
      <c r="B261" t="s">
        <v>803</v>
      </c>
      <c r="C261" t="s">
        <v>526</v>
      </c>
      <c r="D261" t="s">
        <v>541</v>
      </c>
      <c r="E261" s="1">
        <v>45017</v>
      </c>
    </row>
    <row r="262" spans="1:5">
      <c r="A262" s="9" t="s">
        <v>311</v>
      </c>
      <c r="B262" t="s">
        <v>804</v>
      </c>
      <c r="C262" t="s">
        <v>544</v>
      </c>
      <c r="D262" t="s">
        <v>536</v>
      </c>
      <c r="E262" s="1">
        <v>45504</v>
      </c>
    </row>
    <row r="263" spans="1:5">
      <c r="A263" s="9" t="s">
        <v>359</v>
      </c>
      <c r="B263" t="s">
        <v>805</v>
      </c>
      <c r="C263" t="s">
        <v>526</v>
      </c>
      <c r="D263" t="s">
        <v>536</v>
      </c>
      <c r="E263" s="1">
        <v>44989</v>
      </c>
    </row>
    <row r="264" spans="1:5">
      <c r="A264" s="9" t="s">
        <v>277</v>
      </c>
      <c r="B264" t="s">
        <v>806</v>
      </c>
      <c r="C264" t="s">
        <v>538</v>
      </c>
      <c r="D264" t="s">
        <v>541</v>
      </c>
      <c r="E264" s="1">
        <v>45508</v>
      </c>
    </row>
    <row r="265" spans="1:5">
      <c r="A265" s="9" t="s">
        <v>279</v>
      </c>
      <c r="B265" t="s">
        <v>807</v>
      </c>
      <c r="C265" t="s">
        <v>544</v>
      </c>
      <c r="D265" t="s">
        <v>530</v>
      </c>
      <c r="E265" s="1">
        <v>45026</v>
      </c>
    </row>
    <row r="266" spans="1:5">
      <c r="A266" s="9" t="s">
        <v>240</v>
      </c>
      <c r="B266" t="s">
        <v>808</v>
      </c>
      <c r="C266" t="s">
        <v>533</v>
      </c>
      <c r="D266" t="s">
        <v>536</v>
      </c>
      <c r="E266" s="1">
        <v>45118</v>
      </c>
    </row>
    <row r="267" spans="1:5">
      <c r="A267" s="9" t="s">
        <v>60</v>
      </c>
      <c r="B267" t="s">
        <v>809</v>
      </c>
      <c r="C267" t="s">
        <v>538</v>
      </c>
      <c r="D267" t="s">
        <v>541</v>
      </c>
      <c r="E267" s="1">
        <v>45143</v>
      </c>
    </row>
    <row r="268" spans="1:5">
      <c r="A268" s="9" t="s">
        <v>233</v>
      </c>
      <c r="B268" t="s">
        <v>810</v>
      </c>
      <c r="C268" t="s">
        <v>526</v>
      </c>
      <c r="D268" t="s">
        <v>527</v>
      </c>
      <c r="E268" s="1">
        <v>45528</v>
      </c>
    </row>
    <row r="269" spans="1:5">
      <c r="A269" s="9" t="s">
        <v>146</v>
      </c>
      <c r="B269" t="s">
        <v>811</v>
      </c>
      <c r="C269" t="s">
        <v>533</v>
      </c>
      <c r="D269" t="s">
        <v>541</v>
      </c>
      <c r="E269" s="1">
        <v>45222</v>
      </c>
    </row>
    <row r="270" spans="1:5">
      <c r="A270" s="9" t="s">
        <v>393</v>
      </c>
      <c r="B270" t="s">
        <v>812</v>
      </c>
      <c r="C270" t="s">
        <v>538</v>
      </c>
      <c r="D270" t="s">
        <v>541</v>
      </c>
      <c r="E270" s="1">
        <v>45016</v>
      </c>
    </row>
    <row r="271" spans="1:5">
      <c r="A271" s="9" t="s">
        <v>81</v>
      </c>
      <c r="B271" t="s">
        <v>813</v>
      </c>
      <c r="C271" t="s">
        <v>544</v>
      </c>
      <c r="D271" t="s">
        <v>536</v>
      </c>
      <c r="E271" s="1">
        <v>45010</v>
      </c>
    </row>
    <row r="272" spans="1:5">
      <c r="A272" s="9" t="s">
        <v>395</v>
      </c>
      <c r="B272" t="s">
        <v>814</v>
      </c>
      <c r="C272" t="s">
        <v>529</v>
      </c>
      <c r="D272" t="s">
        <v>536</v>
      </c>
      <c r="E272" s="1">
        <v>45281</v>
      </c>
    </row>
    <row r="273" spans="1:5">
      <c r="A273" s="9" t="s">
        <v>338</v>
      </c>
      <c r="B273" t="s">
        <v>815</v>
      </c>
      <c r="C273" t="s">
        <v>544</v>
      </c>
      <c r="D273" t="s">
        <v>533</v>
      </c>
      <c r="E273" s="1">
        <v>45065</v>
      </c>
    </row>
    <row r="274" spans="1:5">
      <c r="A274" s="9" t="s">
        <v>216</v>
      </c>
      <c r="B274" t="s">
        <v>816</v>
      </c>
      <c r="C274" t="s">
        <v>535</v>
      </c>
      <c r="D274" t="s">
        <v>541</v>
      </c>
      <c r="E274" s="1">
        <v>45455</v>
      </c>
    </row>
    <row r="275" spans="1:5">
      <c r="A275" s="9" t="s">
        <v>186</v>
      </c>
      <c r="B275" t="s">
        <v>817</v>
      </c>
      <c r="C275" t="s">
        <v>533</v>
      </c>
      <c r="D275" t="s">
        <v>533</v>
      </c>
      <c r="E275" s="1">
        <v>45082</v>
      </c>
    </row>
    <row r="276" spans="1:5">
      <c r="A276" s="9" t="s">
        <v>159</v>
      </c>
      <c r="B276" t="s">
        <v>818</v>
      </c>
      <c r="C276" t="s">
        <v>544</v>
      </c>
      <c r="D276" t="s">
        <v>541</v>
      </c>
      <c r="E276" s="1">
        <v>45230</v>
      </c>
    </row>
    <row r="277" spans="1:5">
      <c r="A277" s="9" t="s">
        <v>172</v>
      </c>
      <c r="B277" t="s">
        <v>819</v>
      </c>
      <c r="C277" t="s">
        <v>526</v>
      </c>
      <c r="D277" t="s">
        <v>527</v>
      </c>
      <c r="E277" s="1">
        <v>45243</v>
      </c>
    </row>
    <row r="278" spans="1:5">
      <c r="A278" s="9" t="s">
        <v>96</v>
      </c>
      <c r="B278" t="s">
        <v>820</v>
      </c>
      <c r="C278" t="s">
        <v>533</v>
      </c>
      <c r="D278" t="s">
        <v>533</v>
      </c>
      <c r="E278" s="1">
        <v>45322</v>
      </c>
    </row>
    <row r="279" spans="1:5">
      <c r="A279" s="9" t="s">
        <v>344</v>
      </c>
      <c r="B279" t="s">
        <v>821</v>
      </c>
      <c r="C279" t="s">
        <v>538</v>
      </c>
      <c r="D279" t="s">
        <v>533</v>
      </c>
      <c r="E279" s="1">
        <v>45282</v>
      </c>
    </row>
    <row r="280" spans="1:5">
      <c r="A280" s="9" t="s">
        <v>363</v>
      </c>
      <c r="B280" t="s">
        <v>822</v>
      </c>
      <c r="C280" t="s">
        <v>538</v>
      </c>
      <c r="D280" t="s">
        <v>541</v>
      </c>
      <c r="E280" s="1">
        <v>45568</v>
      </c>
    </row>
    <row r="281" spans="1:5">
      <c r="A281" s="9" t="s">
        <v>154</v>
      </c>
      <c r="B281" t="s">
        <v>823</v>
      </c>
      <c r="C281" t="s">
        <v>526</v>
      </c>
      <c r="D281" t="s">
        <v>533</v>
      </c>
      <c r="E281" s="1">
        <v>45476</v>
      </c>
    </row>
    <row r="282" spans="1:5">
      <c r="A282" s="9" t="s">
        <v>295</v>
      </c>
      <c r="B282" t="s">
        <v>824</v>
      </c>
      <c r="C282" t="s">
        <v>533</v>
      </c>
      <c r="D282" t="s">
        <v>541</v>
      </c>
      <c r="E282" s="1">
        <v>45423</v>
      </c>
    </row>
    <row r="283" spans="1:5">
      <c r="A283" s="9" t="s">
        <v>244</v>
      </c>
      <c r="B283" t="s">
        <v>825</v>
      </c>
      <c r="C283" t="s">
        <v>533</v>
      </c>
      <c r="D283" t="s">
        <v>541</v>
      </c>
      <c r="E283" s="1">
        <v>45013</v>
      </c>
    </row>
    <row r="284" spans="1:5">
      <c r="A284" s="9" t="s">
        <v>23</v>
      </c>
      <c r="B284" t="s">
        <v>826</v>
      </c>
      <c r="C284" t="s">
        <v>533</v>
      </c>
      <c r="D284" t="s">
        <v>530</v>
      </c>
      <c r="E284" s="1">
        <v>45332</v>
      </c>
    </row>
    <row r="285" spans="1:5">
      <c r="A285" s="9" t="s">
        <v>301</v>
      </c>
      <c r="B285" t="s">
        <v>827</v>
      </c>
      <c r="C285" t="s">
        <v>544</v>
      </c>
      <c r="D285" t="s">
        <v>541</v>
      </c>
      <c r="E285" s="1">
        <v>45342</v>
      </c>
    </row>
    <row r="286" spans="1:5">
      <c r="A286" s="9" t="s">
        <v>264</v>
      </c>
      <c r="B286" t="s">
        <v>828</v>
      </c>
      <c r="C286" t="s">
        <v>538</v>
      </c>
      <c r="D286" t="s">
        <v>530</v>
      </c>
      <c r="E286" s="1">
        <v>45051</v>
      </c>
    </row>
    <row r="287" spans="1:5">
      <c r="A287" s="9" t="s">
        <v>45</v>
      </c>
      <c r="B287" t="s">
        <v>829</v>
      </c>
      <c r="C287" t="s">
        <v>538</v>
      </c>
      <c r="D287" t="s">
        <v>533</v>
      </c>
      <c r="E287" s="1">
        <v>45312</v>
      </c>
    </row>
    <row r="288" spans="1:5">
      <c r="A288" s="9" t="s">
        <v>135</v>
      </c>
      <c r="B288" t="s">
        <v>830</v>
      </c>
      <c r="C288" t="s">
        <v>526</v>
      </c>
      <c r="D288" t="s">
        <v>527</v>
      </c>
      <c r="E288" s="1">
        <v>45110</v>
      </c>
    </row>
    <row r="289" spans="1:5">
      <c r="A289" s="9" t="s">
        <v>109</v>
      </c>
      <c r="B289" t="s">
        <v>831</v>
      </c>
      <c r="C289" t="s">
        <v>533</v>
      </c>
      <c r="D289" t="s">
        <v>541</v>
      </c>
      <c r="E289" s="1">
        <v>45552</v>
      </c>
    </row>
    <row r="290" spans="1:5">
      <c r="A290" s="9" t="s">
        <v>352</v>
      </c>
      <c r="B290" t="s">
        <v>832</v>
      </c>
      <c r="C290" t="s">
        <v>526</v>
      </c>
      <c r="D290" t="s">
        <v>536</v>
      </c>
      <c r="E290" s="1">
        <v>45002</v>
      </c>
    </row>
    <row r="291" spans="1:5">
      <c r="A291" s="9" t="s">
        <v>297</v>
      </c>
      <c r="B291" t="s">
        <v>833</v>
      </c>
      <c r="C291" t="s">
        <v>526</v>
      </c>
      <c r="D291" t="s">
        <v>533</v>
      </c>
      <c r="E291" s="1">
        <v>45288</v>
      </c>
    </row>
    <row r="292" spans="1:5">
      <c r="A292" s="9" t="s">
        <v>354</v>
      </c>
      <c r="B292" t="s">
        <v>834</v>
      </c>
      <c r="C292" t="s">
        <v>526</v>
      </c>
      <c r="D292" t="s">
        <v>533</v>
      </c>
      <c r="E292" s="1">
        <v>45477</v>
      </c>
    </row>
    <row r="293" spans="1:5">
      <c r="A293" s="9" t="s">
        <v>166</v>
      </c>
      <c r="B293" t="s">
        <v>835</v>
      </c>
      <c r="C293" t="s">
        <v>544</v>
      </c>
      <c r="D293" t="s">
        <v>527</v>
      </c>
      <c r="E293" s="1">
        <v>45143</v>
      </c>
    </row>
    <row r="294" spans="1:5">
      <c r="A294" s="9" t="s">
        <v>305</v>
      </c>
      <c r="B294" t="s">
        <v>836</v>
      </c>
      <c r="C294" t="s">
        <v>526</v>
      </c>
      <c r="D294" t="s">
        <v>536</v>
      </c>
      <c r="E294" s="1">
        <v>45414</v>
      </c>
    </row>
    <row r="295" spans="1:5">
      <c r="A295" s="9" t="s">
        <v>133</v>
      </c>
      <c r="B295" t="s">
        <v>837</v>
      </c>
      <c r="C295" t="s">
        <v>535</v>
      </c>
      <c r="D295" t="s">
        <v>530</v>
      </c>
      <c r="E295" s="1">
        <v>45559</v>
      </c>
    </row>
    <row r="296" spans="1:5">
      <c r="A296" s="9" t="s">
        <v>322</v>
      </c>
      <c r="B296" t="s">
        <v>838</v>
      </c>
      <c r="C296" t="s">
        <v>544</v>
      </c>
      <c r="D296" t="s">
        <v>527</v>
      </c>
      <c r="E296" s="1">
        <v>45503</v>
      </c>
    </row>
    <row r="297" spans="1:5">
      <c r="A297" s="9" t="s">
        <v>341</v>
      </c>
      <c r="B297" t="s">
        <v>839</v>
      </c>
      <c r="C297" t="s">
        <v>533</v>
      </c>
      <c r="D297" t="s">
        <v>541</v>
      </c>
      <c r="E297" s="1">
        <v>45413</v>
      </c>
    </row>
    <row r="298" spans="1:5">
      <c r="A298" s="9" t="s">
        <v>147</v>
      </c>
      <c r="B298" t="s">
        <v>840</v>
      </c>
      <c r="C298" t="s">
        <v>544</v>
      </c>
      <c r="D298" t="s">
        <v>533</v>
      </c>
      <c r="E298" s="1">
        <v>45078</v>
      </c>
    </row>
    <row r="299" spans="1:5">
      <c r="A299" s="9" t="s">
        <v>227</v>
      </c>
      <c r="B299" t="s">
        <v>841</v>
      </c>
      <c r="C299" t="s">
        <v>544</v>
      </c>
      <c r="D299" t="s">
        <v>533</v>
      </c>
      <c r="E299" s="1">
        <v>45241</v>
      </c>
    </row>
    <row r="300" spans="1:5">
      <c r="A300" s="9" t="s">
        <v>90</v>
      </c>
      <c r="B300" t="s">
        <v>842</v>
      </c>
      <c r="C300" t="s">
        <v>544</v>
      </c>
      <c r="D300" t="s">
        <v>530</v>
      </c>
      <c r="E300" s="1">
        <v>45494</v>
      </c>
    </row>
    <row r="301" spans="1:5">
      <c r="A301" s="9" t="s">
        <v>343</v>
      </c>
      <c r="B301" t="s">
        <v>843</v>
      </c>
      <c r="C301" t="s">
        <v>533</v>
      </c>
      <c r="D301" t="s">
        <v>527</v>
      </c>
      <c r="E301" s="1">
        <v>45365</v>
      </c>
    </row>
    <row r="302" spans="1:5">
      <c r="A302" s="10"/>
    </row>
    <row r="303" spans="1:5">
      <c r="A303" s="10"/>
    </row>
    <row r="304" spans="1:5">
      <c r="A304" s="10"/>
    </row>
    <row r="305" spans="1:1">
      <c r="A305" s="1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93B4-62B7-9040-B33F-3AC7B855A106}">
  <dimension ref="A1:F33"/>
  <sheetViews>
    <sheetView topLeftCell="A7" zoomScale="210" zoomScaleNormal="210" workbookViewId="0">
      <selection activeCell="E2" sqref="E2"/>
    </sheetView>
  </sheetViews>
  <sheetFormatPr defaultColWidth="11.42578125" defaultRowHeight="15"/>
  <cols>
    <col min="1" max="1" width="14.85546875" bestFit="1" customWidth="1"/>
    <col min="4" max="4" width="13.42578125" customWidth="1"/>
  </cols>
  <sheetData>
    <row r="1" spans="1:6">
      <c r="A1" t="s">
        <v>848</v>
      </c>
      <c r="B1" t="s">
        <v>850</v>
      </c>
      <c r="C1" t="s">
        <v>864</v>
      </c>
      <c r="D1">
        <v>5.0999999999999996</v>
      </c>
    </row>
    <row r="2" spans="1:6">
      <c r="A2" t="s">
        <v>420</v>
      </c>
      <c r="B2">
        <v>100</v>
      </c>
      <c r="E2">
        <f>B2 * $D$1</f>
        <v>509.99999999999994</v>
      </c>
    </row>
    <row r="3" spans="1:6">
      <c r="A3" t="s">
        <v>418</v>
      </c>
      <c r="B3">
        <v>90</v>
      </c>
      <c r="E3">
        <f t="shared" ref="E3:E5" si="0">B3 * $D$1</f>
        <v>458.99999999999994</v>
      </c>
    </row>
    <row r="4" spans="1:6">
      <c r="A4" t="s">
        <v>415</v>
      </c>
      <c r="B4">
        <v>135</v>
      </c>
      <c r="E4">
        <f t="shared" si="0"/>
        <v>688.5</v>
      </c>
    </row>
    <row r="5" spans="1:6">
      <c r="A5" t="s">
        <v>849</v>
      </c>
      <c r="B5">
        <v>31</v>
      </c>
      <c r="E5">
        <f t="shared" si="0"/>
        <v>158.1</v>
      </c>
    </row>
    <row r="7" spans="1:6">
      <c r="A7" t="s">
        <v>851</v>
      </c>
      <c r="B7">
        <v>1</v>
      </c>
      <c r="D7" s="3" t="s">
        <v>6</v>
      </c>
      <c r="E7" s="3" t="s">
        <v>7</v>
      </c>
      <c r="F7" t="s">
        <v>865</v>
      </c>
    </row>
    <row r="8" spans="1:6">
      <c r="A8" t="s">
        <v>852</v>
      </c>
      <c r="B8">
        <v>2</v>
      </c>
      <c r="D8">
        <v>583</v>
      </c>
      <c r="E8">
        <v>5</v>
      </c>
      <c r="F8">
        <f>D8*E8</f>
        <v>2915</v>
      </c>
    </row>
    <row r="9" spans="1:6">
      <c r="A9" t="s">
        <v>853</v>
      </c>
      <c r="B9">
        <v>3</v>
      </c>
      <c r="D9">
        <v>557</v>
      </c>
      <c r="E9">
        <v>10</v>
      </c>
      <c r="F9">
        <f t="shared" ref="F9:F21" si="1">D9*E9</f>
        <v>5570</v>
      </c>
    </row>
    <row r="10" spans="1:6">
      <c r="A10" t="s">
        <v>854</v>
      </c>
      <c r="B10">
        <v>4</v>
      </c>
      <c r="D10">
        <v>1736</v>
      </c>
      <c r="E10">
        <v>10</v>
      </c>
      <c r="F10">
        <f t="shared" si="1"/>
        <v>17360</v>
      </c>
    </row>
    <row r="11" spans="1:6">
      <c r="A11" t="s">
        <v>855</v>
      </c>
      <c r="B11">
        <v>5</v>
      </c>
      <c r="D11">
        <v>943</v>
      </c>
      <c r="E11">
        <v>10</v>
      </c>
      <c r="F11">
        <f t="shared" si="1"/>
        <v>9430</v>
      </c>
    </row>
    <row r="12" spans="1:6">
      <c r="A12" t="s">
        <v>856</v>
      </c>
      <c r="B12">
        <v>6</v>
      </c>
      <c r="D12">
        <v>1811</v>
      </c>
      <c r="E12">
        <v>15</v>
      </c>
      <c r="F12">
        <f t="shared" si="1"/>
        <v>27165</v>
      </c>
    </row>
    <row r="13" spans="1:6">
      <c r="A13" t="s">
        <v>857</v>
      </c>
      <c r="B13">
        <v>7</v>
      </c>
      <c r="D13">
        <v>1396</v>
      </c>
      <c r="E13">
        <v>10</v>
      </c>
      <c r="F13">
        <f t="shared" si="1"/>
        <v>13960</v>
      </c>
    </row>
    <row r="14" spans="1:6">
      <c r="A14" t="s">
        <v>858</v>
      </c>
      <c r="B14">
        <v>8</v>
      </c>
      <c r="D14">
        <v>641</v>
      </c>
      <c r="E14">
        <v>15</v>
      </c>
      <c r="F14">
        <f t="shared" si="1"/>
        <v>9615</v>
      </c>
    </row>
    <row r="15" spans="1:6">
      <c r="A15" t="s">
        <v>859</v>
      </c>
      <c r="B15">
        <v>9</v>
      </c>
      <c r="D15">
        <v>430</v>
      </c>
      <c r="E15">
        <v>15</v>
      </c>
      <c r="F15">
        <f t="shared" si="1"/>
        <v>6450</v>
      </c>
    </row>
    <row r="16" spans="1:6">
      <c r="A16" t="s">
        <v>860</v>
      </c>
      <c r="B16">
        <v>10</v>
      </c>
      <c r="D16">
        <v>559</v>
      </c>
      <c r="E16">
        <v>15</v>
      </c>
      <c r="F16">
        <f t="shared" si="1"/>
        <v>8385</v>
      </c>
    </row>
    <row r="17" spans="1:6">
      <c r="A17" t="s">
        <v>861</v>
      </c>
      <c r="B17">
        <v>11</v>
      </c>
      <c r="D17">
        <v>1846</v>
      </c>
      <c r="E17">
        <v>10</v>
      </c>
      <c r="F17">
        <f t="shared" si="1"/>
        <v>18460</v>
      </c>
    </row>
    <row r="18" spans="1:6">
      <c r="A18" t="s">
        <v>862</v>
      </c>
      <c r="B18">
        <v>12</v>
      </c>
      <c r="D18">
        <v>1449</v>
      </c>
      <c r="E18">
        <v>10</v>
      </c>
      <c r="F18">
        <f t="shared" si="1"/>
        <v>14490</v>
      </c>
    </row>
    <row r="19" spans="1:6">
      <c r="D19">
        <v>964</v>
      </c>
      <c r="E19">
        <v>10</v>
      </c>
      <c r="F19">
        <f t="shared" si="1"/>
        <v>9640</v>
      </c>
    </row>
    <row r="20" spans="1:6">
      <c r="D20">
        <v>1479</v>
      </c>
      <c r="E20">
        <v>5</v>
      </c>
      <c r="F20">
        <f t="shared" si="1"/>
        <v>7395</v>
      </c>
    </row>
    <row r="21" spans="1:6">
      <c r="D21">
        <v>1675</v>
      </c>
      <c r="E21">
        <v>15</v>
      </c>
      <c r="F21">
        <f t="shared" si="1"/>
        <v>25125</v>
      </c>
    </row>
    <row r="24" spans="1:6" ht="18">
      <c r="A24" s="5"/>
      <c r="B24" t="s">
        <v>863</v>
      </c>
      <c r="C24">
        <v>120</v>
      </c>
      <c r="D24" t="b">
        <f>ISBLANK(A24)</f>
        <v>1</v>
      </c>
      <c r="E24">
        <f>IFERROR(A24/B24, 0)</f>
        <v>0</v>
      </c>
    </row>
    <row r="25" spans="1:6" ht="18">
      <c r="A25" s="5" t="s">
        <v>782</v>
      </c>
      <c r="B25" t="s">
        <v>863</v>
      </c>
      <c r="C25">
        <v>240</v>
      </c>
      <c r="D25" t="b">
        <f>ISNUMBER(C25)</f>
        <v>1</v>
      </c>
    </row>
    <row r="26" spans="1:6" ht="18">
      <c r="A26" s="5" t="s">
        <v>844</v>
      </c>
      <c r="B26" t="s">
        <v>863</v>
      </c>
      <c r="C26">
        <v>360</v>
      </c>
    </row>
    <row r="27" spans="1:6" ht="18">
      <c r="A27" s="5" t="s">
        <v>845</v>
      </c>
      <c r="B27" t="s">
        <v>863</v>
      </c>
      <c r="C27">
        <v>480</v>
      </c>
    </row>
    <row r="28" spans="1:6" ht="18">
      <c r="A28" s="5" t="s">
        <v>846</v>
      </c>
      <c r="B28" t="s">
        <v>863</v>
      </c>
      <c r="C28">
        <v>600</v>
      </c>
    </row>
    <row r="29" spans="1:6" ht="18">
      <c r="A29" s="5" t="s">
        <v>847</v>
      </c>
      <c r="B29" t="s">
        <v>863</v>
      </c>
      <c r="C29">
        <v>720</v>
      </c>
    </row>
    <row r="31" spans="1:6" ht="18">
      <c r="A31" s="5" t="s">
        <v>866</v>
      </c>
      <c r="B31" t="str">
        <f>TRIM(A31)</f>
        <v>Ashok</v>
      </c>
      <c r="C31" t="str">
        <f>UPPER(A31)</f>
        <v>ASHOK</v>
      </c>
    </row>
    <row r="32" spans="1:6" ht="18">
      <c r="A32" s="5" t="s">
        <v>867</v>
      </c>
      <c r="B32" t="str">
        <f>CLEAN(A32)</f>
        <v>ahoks</v>
      </c>
      <c r="C32" t="str">
        <f>LOWER(C31)</f>
        <v>ashok</v>
      </c>
    </row>
    <row r="33" spans="1:1">
      <c r="A33" t="str">
        <f>SUBSTITUTE(A32, "ahoks", "ashok")</f>
        <v>ashok</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7716-3107-E149-98EE-F683096AA779}">
  <dimension ref="A1:D20"/>
  <sheetViews>
    <sheetView zoomScale="150" zoomScaleNormal="150" workbookViewId="0">
      <selection activeCell="B10" sqref="B10"/>
    </sheetView>
  </sheetViews>
  <sheetFormatPr defaultColWidth="11.42578125" defaultRowHeight="15"/>
  <cols>
    <col min="2" max="2" width="24" customWidth="1"/>
    <col min="3" max="3" width="25.7109375" customWidth="1"/>
  </cols>
  <sheetData>
    <row r="1" spans="1:4">
      <c r="A1" s="4">
        <v>100823</v>
      </c>
      <c r="B1" s="1">
        <v>45657</v>
      </c>
      <c r="C1" s="1">
        <v>45298</v>
      </c>
      <c r="D1" t="s">
        <v>303</v>
      </c>
    </row>
    <row r="2" spans="1:4">
      <c r="A2" s="4">
        <v>100023</v>
      </c>
      <c r="B2" s="1">
        <v>45655</v>
      </c>
      <c r="C2" s="1">
        <v>45300</v>
      </c>
      <c r="D2" t="s">
        <v>30</v>
      </c>
    </row>
    <row r="3" spans="1:4">
      <c r="A3" s="4">
        <v>100526</v>
      </c>
      <c r="B3" s="1">
        <v>45654</v>
      </c>
      <c r="C3" s="1">
        <v>45300</v>
      </c>
      <c r="D3" t="s">
        <v>271</v>
      </c>
    </row>
    <row r="4" spans="1:4">
      <c r="A4" s="4">
        <v>100207</v>
      </c>
      <c r="B4" s="1">
        <v>45653</v>
      </c>
      <c r="C4" s="1">
        <v>45299</v>
      </c>
      <c r="D4" t="s">
        <v>192</v>
      </c>
    </row>
    <row r="5" spans="1:4">
      <c r="A5" s="4">
        <v>100349</v>
      </c>
      <c r="B5" s="1">
        <v>45652</v>
      </c>
      <c r="C5" s="1">
        <v>45300</v>
      </c>
      <c r="D5" t="s">
        <v>202</v>
      </c>
    </row>
    <row r="6" spans="1:4">
      <c r="A6" s="4">
        <v>100600</v>
      </c>
      <c r="B6" s="1">
        <v>45650</v>
      </c>
      <c r="C6" s="1">
        <v>45300</v>
      </c>
      <c r="D6" t="s">
        <v>373</v>
      </c>
    </row>
    <row r="7" spans="1:4">
      <c r="A7" s="4">
        <v>100660</v>
      </c>
      <c r="B7" s="1">
        <v>45649</v>
      </c>
      <c r="C7" s="1">
        <v>45294</v>
      </c>
      <c r="D7" t="s">
        <v>385</v>
      </c>
    </row>
    <row r="8" spans="1:4">
      <c r="A8" s="4">
        <v>100611</v>
      </c>
      <c r="B8" s="1">
        <v>45645</v>
      </c>
      <c r="C8" s="1">
        <v>45294</v>
      </c>
      <c r="D8" t="s">
        <v>133</v>
      </c>
    </row>
    <row r="9" spans="1:4">
      <c r="A9" s="4">
        <v>100141</v>
      </c>
      <c r="B9" s="1">
        <v>45644</v>
      </c>
      <c r="C9" s="1">
        <v>45294</v>
      </c>
      <c r="D9" t="s">
        <v>20</v>
      </c>
    </row>
    <row r="14" spans="1:4">
      <c r="B14" s="7"/>
    </row>
    <row r="20" spans="2:2">
      <c r="B20"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488B-9142-B748-B7AE-49CCDCB11CAE}">
  <dimension ref="A1:B1001"/>
  <sheetViews>
    <sheetView zoomScale="190" zoomScaleNormal="190" workbookViewId="0">
      <selection activeCell="D13" sqref="D13"/>
    </sheetView>
  </sheetViews>
  <sheetFormatPr defaultColWidth="11.42578125" defaultRowHeight="15"/>
  <cols>
    <col min="1" max="1" width="8.85546875"/>
    <col min="2" max="2" width="14" customWidth="1"/>
  </cols>
  <sheetData>
    <row r="1" spans="1:2">
      <c r="A1" s="3" t="s">
        <v>4</v>
      </c>
      <c r="B1" s="11" t="s">
        <v>868</v>
      </c>
    </row>
    <row r="2" spans="1:2">
      <c r="A2" t="s">
        <v>298</v>
      </c>
      <c r="B2" s="6">
        <v>684</v>
      </c>
    </row>
    <row r="3" spans="1:2">
      <c r="A3" t="s">
        <v>298</v>
      </c>
      <c r="B3" s="6">
        <v>684</v>
      </c>
    </row>
    <row r="4" spans="1:2">
      <c r="A4" t="s">
        <v>298</v>
      </c>
      <c r="B4" s="6">
        <v>684</v>
      </c>
    </row>
    <row r="5" spans="1:2">
      <c r="A5" t="s">
        <v>298</v>
      </c>
      <c r="B5" s="6">
        <v>513</v>
      </c>
    </row>
    <row r="6" spans="1:2">
      <c r="A6" t="s">
        <v>298</v>
      </c>
      <c r="B6" s="6">
        <v>342</v>
      </c>
    </row>
    <row r="7" spans="1:2">
      <c r="A7" t="s">
        <v>298</v>
      </c>
      <c r="B7" s="6">
        <v>171</v>
      </c>
    </row>
    <row r="8" spans="1:2">
      <c r="A8" t="s">
        <v>298</v>
      </c>
      <c r="B8" s="6">
        <v>171</v>
      </c>
    </row>
    <row r="9" spans="1:2">
      <c r="A9" t="s">
        <v>73</v>
      </c>
      <c r="B9" s="6">
        <v>972</v>
      </c>
    </row>
    <row r="10" spans="1:2">
      <c r="A10" t="s">
        <v>73</v>
      </c>
      <c r="B10" s="6">
        <v>972</v>
      </c>
    </row>
    <row r="11" spans="1:2">
      <c r="A11" t="s">
        <v>73</v>
      </c>
      <c r="B11" s="6">
        <v>972</v>
      </c>
    </row>
    <row r="12" spans="1:2">
      <c r="A12" t="s">
        <v>73</v>
      </c>
      <c r="B12" s="6">
        <v>729</v>
      </c>
    </row>
    <row r="13" spans="1:2">
      <c r="A13" t="s">
        <v>73</v>
      </c>
      <c r="B13" s="6">
        <v>729</v>
      </c>
    </row>
    <row r="14" spans="1:2">
      <c r="A14" t="s">
        <v>73</v>
      </c>
      <c r="B14" s="6">
        <v>729</v>
      </c>
    </row>
    <row r="15" spans="1:2">
      <c r="A15" t="s">
        <v>73</v>
      </c>
      <c r="B15" s="6">
        <v>729</v>
      </c>
    </row>
    <row r="16" spans="1:2">
      <c r="A16" t="s">
        <v>73</v>
      </c>
      <c r="B16" s="6">
        <v>729</v>
      </c>
    </row>
    <row r="17" spans="1:2">
      <c r="A17" t="s">
        <v>73</v>
      </c>
      <c r="B17" s="6">
        <v>729</v>
      </c>
    </row>
    <row r="18" spans="1:2">
      <c r="A18" t="s">
        <v>73</v>
      </c>
      <c r="B18" s="6">
        <v>486</v>
      </c>
    </row>
    <row r="19" spans="1:2">
      <c r="A19" t="s">
        <v>73</v>
      </c>
      <c r="B19" s="6">
        <v>486</v>
      </c>
    </row>
    <row r="20" spans="1:2">
      <c r="A20" t="s">
        <v>73</v>
      </c>
      <c r="B20" s="6">
        <v>486</v>
      </c>
    </row>
    <row r="21" spans="1:2">
      <c r="A21" t="s">
        <v>73</v>
      </c>
      <c r="B21" s="6">
        <v>486</v>
      </c>
    </row>
    <row r="22" spans="1:2">
      <c r="A22" t="s">
        <v>73</v>
      </c>
      <c r="B22" s="6">
        <v>243</v>
      </c>
    </row>
    <row r="23" spans="1:2">
      <c r="A23" t="s">
        <v>101</v>
      </c>
      <c r="B23" s="6">
        <v>504</v>
      </c>
    </row>
    <row r="24" spans="1:2">
      <c r="A24" t="s">
        <v>101</v>
      </c>
      <c r="B24" s="6">
        <v>504</v>
      </c>
    </row>
    <row r="25" spans="1:2">
      <c r="A25" t="s">
        <v>101</v>
      </c>
      <c r="B25" s="6">
        <v>378</v>
      </c>
    </row>
    <row r="26" spans="1:2">
      <c r="A26" t="s">
        <v>101</v>
      </c>
      <c r="B26" s="6">
        <v>378</v>
      </c>
    </row>
    <row r="27" spans="1:2">
      <c r="A27" t="s">
        <v>101</v>
      </c>
      <c r="B27" s="6">
        <v>378</v>
      </c>
    </row>
    <row r="28" spans="1:2">
      <c r="A28" t="s">
        <v>101</v>
      </c>
      <c r="B28" s="6">
        <v>126</v>
      </c>
    </row>
    <row r="29" spans="1:2">
      <c r="A29" t="s">
        <v>101</v>
      </c>
      <c r="B29" s="6">
        <v>126</v>
      </c>
    </row>
    <row r="30" spans="1:2">
      <c r="A30" t="s">
        <v>101</v>
      </c>
      <c r="B30" s="6">
        <v>126</v>
      </c>
    </row>
    <row r="31" spans="1:2">
      <c r="A31" t="s">
        <v>132</v>
      </c>
      <c r="B31" s="6">
        <v>552</v>
      </c>
    </row>
    <row r="32" spans="1:2">
      <c r="A32" t="s">
        <v>132</v>
      </c>
      <c r="B32" s="6">
        <v>414</v>
      </c>
    </row>
    <row r="33" spans="1:2">
      <c r="A33" t="s">
        <v>132</v>
      </c>
      <c r="B33" s="6">
        <v>276</v>
      </c>
    </row>
    <row r="34" spans="1:2">
      <c r="A34" t="s">
        <v>132</v>
      </c>
      <c r="B34" s="6">
        <v>276</v>
      </c>
    </row>
    <row r="35" spans="1:2">
      <c r="A35" t="s">
        <v>132</v>
      </c>
      <c r="B35" s="6">
        <v>276</v>
      </c>
    </row>
    <row r="36" spans="1:2">
      <c r="A36" t="s">
        <v>132</v>
      </c>
      <c r="B36" s="6">
        <v>276</v>
      </c>
    </row>
    <row r="37" spans="1:2">
      <c r="A37" t="s">
        <v>132</v>
      </c>
      <c r="B37" s="6">
        <v>138</v>
      </c>
    </row>
    <row r="38" spans="1:2">
      <c r="A38" t="s">
        <v>132</v>
      </c>
      <c r="B38" s="6">
        <v>138</v>
      </c>
    </row>
    <row r="39" spans="1:2">
      <c r="A39" t="s">
        <v>132</v>
      </c>
      <c r="B39" s="6">
        <v>138</v>
      </c>
    </row>
    <row r="40" spans="1:2">
      <c r="A40" t="s">
        <v>95</v>
      </c>
      <c r="B40" s="6">
        <v>452</v>
      </c>
    </row>
    <row r="41" spans="1:2">
      <c r="A41" t="s">
        <v>95</v>
      </c>
      <c r="B41" s="6">
        <v>452</v>
      </c>
    </row>
    <row r="42" spans="1:2">
      <c r="A42" t="s">
        <v>95</v>
      </c>
      <c r="B42" s="6">
        <v>452</v>
      </c>
    </row>
    <row r="43" spans="1:2">
      <c r="A43" t="s">
        <v>95</v>
      </c>
      <c r="B43" s="6">
        <v>339</v>
      </c>
    </row>
    <row r="44" spans="1:2">
      <c r="A44" t="s">
        <v>95</v>
      </c>
      <c r="B44" s="6">
        <v>339</v>
      </c>
    </row>
    <row r="45" spans="1:2">
      <c r="A45" t="s">
        <v>95</v>
      </c>
      <c r="B45" s="6">
        <v>226</v>
      </c>
    </row>
    <row r="46" spans="1:2">
      <c r="A46" t="s">
        <v>95</v>
      </c>
      <c r="B46" s="6">
        <v>226</v>
      </c>
    </row>
    <row r="47" spans="1:2">
      <c r="A47" t="s">
        <v>95</v>
      </c>
      <c r="B47" s="6">
        <v>226</v>
      </c>
    </row>
    <row r="48" spans="1:2">
      <c r="A48" t="s">
        <v>95</v>
      </c>
      <c r="B48" s="6">
        <v>113</v>
      </c>
    </row>
    <row r="49" spans="1:2">
      <c r="A49" t="s">
        <v>95</v>
      </c>
      <c r="B49" s="6">
        <v>113</v>
      </c>
    </row>
    <row r="50" spans="1:2">
      <c r="A50" t="s">
        <v>95</v>
      </c>
      <c r="B50" s="6">
        <v>113</v>
      </c>
    </row>
    <row r="51" spans="1:2">
      <c r="A51" t="s">
        <v>95</v>
      </c>
      <c r="B51" s="6">
        <v>113</v>
      </c>
    </row>
    <row r="52" spans="1:2">
      <c r="A52" t="s">
        <v>209</v>
      </c>
      <c r="B52" s="6">
        <v>212</v>
      </c>
    </row>
    <row r="53" spans="1:2">
      <c r="A53" t="s">
        <v>209</v>
      </c>
      <c r="B53" s="6">
        <v>212</v>
      </c>
    </row>
    <row r="54" spans="1:2">
      <c r="A54" t="s">
        <v>209</v>
      </c>
      <c r="B54" s="6">
        <v>212</v>
      </c>
    </row>
    <row r="55" spans="1:2">
      <c r="A55" t="s">
        <v>209</v>
      </c>
      <c r="B55" s="6">
        <v>106</v>
      </c>
    </row>
    <row r="56" spans="1:2">
      <c r="A56" t="s">
        <v>209</v>
      </c>
      <c r="B56" s="6">
        <v>106</v>
      </c>
    </row>
    <row r="57" spans="1:2">
      <c r="A57" t="s">
        <v>209</v>
      </c>
      <c r="B57" s="6">
        <v>106</v>
      </c>
    </row>
    <row r="58" spans="1:2">
      <c r="A58" t="s">
        <v>209</v>
      </c>
      <c r="B58" s="6">
        <v>53</v>
      </c>
    </row>
    <row r="59" spans="1:2">
      <c r="A59" t="s">
        <v>209</v>
      </c>
      <c r="B59" s="6">
        <v>53</v>
      </c>
    </row>
    <row r="60" spans="1:2">
      <c r="A60" t="s">
        <v>209</v>
      </c>
      <c r="B60" s="6">
        <v>53</v>
      </c>
    </row>
    <row r="61" spans="1:2">
      <c r="A61" t="s">
        <v>209</v>
      </c>
      <c r="B61" s="6">
        <v>53</v>
      </c>
    </row>
    <row r="62" spans="1:2">
      <c r="A62" t="s">
        <v>91</v>
      </c>
      <c r="B62" s="6">
        <v>972</v>
      </c>
    </row>
    <row r="63" spans="1:2">
      <c r="A63" t="s">
        <v>91</v>
      </c>
      <c r="B63" s="6">
        <v>972</v>
      </c>
    </row>
    <row r="64" spans="1:2">
      <c r="A64" t="s">
        <v>91</v>
      </c>
      <c r="B64" s="6">
        <v>972</v>
      </c>
    </row>
    <row r="65" spans="1:2">
      <c r="A65" t="s">
        <v>91</v>
      </c>
      <c r="B65" s="6">
        <v>972</v>
      </c>
    </row>
    <row r="66" spans="1:2">
      <c r="A66" t="s">
        <v>91</v>
      </c>
      <c r="B66" s="6">
        <v>729</v>
      </c>
    </row>
    <row r="67" spans="1:2">
      <c r="A67" t="s">
        <v>91</v>
      </c>
      <c r="B67" s="6">
        <v>729</v>
      </c>
    </row>
    <row r="68" spans="1:2">
      <c r="A68" t="s">
        <v>91</v>
      </c>
      <c r="B68" s="6">
        <v>486</v>
      </c>
    </row>
    <row r="69" spans="1:2">
      <c r="A69" t="s">
        <v>91</v>
      </c>
      <c r="B69" s="6">
        <v>486</v>
      </c>
    </row>
    <row r="70" spans="1:2">
      <c r="A70" t="s">
        <v>91</v>
      </c>
      <c r="B70" s="6">
        <v>486</v>
      </c>
    </row>
    <row r="71" spans="1:2">
      <c r="A71" t="s">
        <v>91</v>
      </c>
      <c r="B71" s="6">
        <v>486</v>
      </c>
    </row>
    <row r="72" spans="1:2">
      <c r="A72" t="s">
        <v>91</v>
      </c>
      <c r="B72" s="6">
        <v>486</v>
      </c>
    </row>
    <row r="73" spans="1:2">
      <c r="A73" t="s">
        <v>91</v>
      </c>
      <c r="B73" s="6">
        <v>243</v>
      </c>
    </row>
    <row r="74" spans="1:2">
      <c r="A74" t="s">
        <v>91</v>
      </c>
      <c r="B74" s="6">
        <v>243</v>
      </c>
    </row>
    <row r="75" spans="1:2">
      <c r="A75" t="s">
        <v>15</v>
      </c>
      <c r="B75" s="6">
        <v>968</v>
      </c>
    </row>
    <row r="76" spans="1:2">
      <c r="A76" t="s">
        <v>15</v>
      </c>
      <c r="B76" s="6">
        <v>968</v>
      </c>
    </row>
    <row r="77" spans="1:2">
      <c r="A77" t="s">
        <v>15</v>
      </c>
      <c r="B77" s="6">
        <v>968</v>
      </c>
    </row>
    <row r="78" spans="1:2">
      <c r="A78" t="s">
        <v>15</v>
      </c>
      <c r="B78" s="6">
        <v>726</v>
      </c>
    </row>
    <row r="79" spans="1:2">
      <c r="A79" t="s">
        <v>15</v>
      </c>
      <c r="B79" s="6">
        <v>726</v>
      </c>
    </row>
    <row r="80" spans="1:2">
      <c r="A80" t="s">
        <v>15</v>
      </c>
      <c r="B80" s="6">
        <v>726</v>
      </c>
    </row>
    <row r="81" spans="1:2">
      <c r="A81" t="s">
        <v>15</v>
      </c>
      <c r="B81" s="6">
        <v>726</v>
      </c>
    </row>
    <row r="82" spans="1:2">
      <c r="A82" t="s">
        <v>15</v>
      </c>
      <c r="B82" s="6">
        <v>726</v>
      </c>
    </row>
    <row r="83" spans="1:2">
      <c r="A83" t="s">
        <v>15</v>
      </c>
      <c r="B83" s="6">
        <v>726</v>
      </c>
    </row>
    <row r="84" spans="1:2">
      <c r="A84" t="s">
        <v>15</v>
      </c>
      <c r="B84" s="6">
        <v>726</v>
      </c>
    </row>
    <row r="85" spans="1:2">
      <c r="A85" t="s">
        <v>15</v>
      </c>
      <c r="B85" s="6">
        <v>726</v>
      </c>
    </row>
    <row r="86" spans="1:2">
      <c r="A86" t="s">
        <v>15</v>
      </c>
      <c r="B86" s="6">
        <v>484</v>
      </c>
    </row>
    <row r="87" spans="1:2">
      <c r="A87" t="s">
        <v>15</v>
      </c>
      <c r="B87" s="6">
        <v>484</v>
      </c>
    </row>
    <row r="88" spans="1:2">
      <c r="A88" t="s">
        <v>15</v>
      </c>
      <c r="B88" s="6">
        <v>484</v>
      </c>
    </row>
    <row r="89" spans="1:2">
      <c r="A89" t="s">
        <v>15</v>
      </c>
      <c r="B89" s="6">
        <v>242</v>
      </c>
    </row>
    <row r="90" spans="1:2">
      <c r="A90" t="s">
        <v>15</v>
      </c>
      <c r="B90" s="6">
        <v>242</v>
      </c>
    </row>
    <row r="91" spans="1:2">
      <c r="A91" t="s">
        <v>15</v>
      </c>
      <c r="B91" s="6">
        <v>242</v>
      </c>
    </row>
    <row r="92" spans="1:2">
      <c r="A92" t="s">
        <v>15</v>
      </c>
      <c r="B92" s="6">
        <v>242</v>
      </c>
    </row>
    <row r="93" spans="1:2">
      <c r="A93" t="s">
        <v>61</v>
      </c>
      <c r="B93" s="6">
        <v>260</v>
      </c>
    </row>
    <row r="94" spans="1:2">
      <c r="A94" t="s">
        <v>61</v>
      </c>
      <c r="B94" s="6">
        <v>260</v>
      </c>
    </row>
    <row r="95" spans="1:2">
      <c r="A95" t="s">
        <v>61</v>
      </c>
      <c r="B95" s="6">
        <v>260</v>
      </c>
    </row>
    <row r="96" spans="1:2">
      <c r="A96" t="s">
        <v>61</v>
      </c>
      <c r="B96" s="6">
        <v>260</v>
      </c>
    </row>
    <row r="97" spans="1:2">
      <c r="A97" t="s">
        <v>61</v>
      </c>
      <c r="B97" s="6">
        <v>260</v>
      </c>
    </row>
    <row r="98" spans="1:2">
      <c r="A98" t="s">
        <v>61</v>
      </c>
      <c r="B98" s="6">
        <v>195</v>
      </c>
    </row>
    <row r="99" spans="1:2">
      <c r="A99" t="s">
        <v>61</v>
      </c>
      <c r="B99" s="6">
        <v>195</v>
      </c>
    </row>
    <row r="100" spans="1:2">
      <c r="A100" t="s">
        <v>61</v>
      </c>
      <c r="B100" s="6">
        <v>195</v>
      </c>
    </row>
    <row r="101" spans="1:2">
      <c r="A101" t="s">
        <v>61</v>
      </c>
      <c r="B101" s="6">
        <v>195</v>
      </c>
    </row>
    <row r="102" spans="1:2">
      <c r="A102" t="s">
        <v>61</v>
      </c>
      <c r="B102" s="6">
        <v>130</v>
      </c>
    </row>
    <row r="103" spans="1:2">
      <c r="A103" t="s">
        <v>61</v>
      </c>
      <c r="B103" s="6">
        <v>130</v>
      </c>
    </row>
    <row r="104" spans="1:2">
      <c r="A104" t="s">
        <v>61</v>
      </c>
      <c r="B104" s="6">
        <v>130</v>
      </c>
    </row>
    <row r="105" spans="1:2">
      <c r="A105" t="s">
        <v>61</v>
      </c>
      <c r="B105" s="6">
        <v>65</v>
      </c>
    </row>
    <row r="106" spans="1:2">
      <c r="A106" t="s">
        <v>61</v>
      </c>
      <c r="B106" s="6">
        <v>65</v>
      </c>
    </row>
    <row r="107" spans="1:2">
      <c r="A107" t="s">
        <v>115</v>
      </c>
      <c r="B107" s="6">
        <v>844</v>
      </c>
    </row>
    <row r="108" spans="1:2">
      <c r="A108" t="s">
        <v>115</v>
      </c>
      <c r="B108" s="6">
        <v>844</v>
      </c>
    </row>
    <row r="109" spans="1:2">
      <c r="A109" t="s">
        <v>115</v>
      </c>
      <c r="B109" s="6">
        <v>844</v>
      </c>
    </row>
    <row r="110" spans="1:2">
      <c r="A110" t="s">
        <v>115</v>
      </c>
      <c r="B110" s="6">
        <v>844</v>
      </c>
    </row>
    <row r="111" spans="1:2">
      <c r="A111" t="s">
        <v>115</v>
      </c>
      <c r="B111" s="6">
        <v>633</v>
      </c>
    </row>
    <row r="112" spans="1:2">
      <c r="A112" t="s">
        <v>115</v>
      </c>
      <c r="B112" s="6">
        <v>633</v>
      </c>
    </row>
    <row r="113" spans="1:2">
      <c r="A113" t="s">
        <v>115</v>
      </c>
      <c r="B113" s="6">
        <v>633</v>
      </c>
    </row>
    <row r="114" spans="1:2">
      <c r="A114" t="s">
        <v>115</v>
      </c>
      <c r="B114" s="6">
        <v>633</v>
      </c>
    </row>
    <row r="115" spans="1:2">
      <c r="A115" t="s">
        <v>115</v>
      </c>
      <c r="B115" s="6">
        <v>422</v>
      </c>
    </row>
    <row r="116" spans="1:2">
      <c r="A116" t="s">
        <v>115</v>
      </c>
      <c r="B116" s="6">
        <v>422</v>
      </c>
    </row>
    <row r="117" spans="1:2">
      <c r="A117" t="s">
        <v>115</v>
      </c>
      <c r="B117" s="6">
        <v>211</v>
      </c>
    </row>
    <row r="118" spans="1:2">
      <c r="A118" t="s">
        <v>69</v>
      </c>
      <c r="B118" s="6">
        <v>328</v>
      </c>
    </row>
    <row r="119" spans="1:2">
      <c r="A119" t="s">
        <v>69</v>
      </c>
      <c r="B119" s="6">
        <v>328</v>
      </c>
    </row>
    <row r="120" spans="1:2">
      <c r="A120" t="s">
        <v>69</v>
      </c>
      <c r="B120" s="6">
        <v>246</v>
      </c>
    </row>
    <row r="121" spans="1:2">
      <c r="A121" t="s">
        <v>69</v>
      </c>
      <c r="B121" s="6">
        <v>246</v>
      </c>
    </row>
    <row r="122" spans="1:2">
      <c r="A122" t="s">
        <v>69</v>
      </c>
      <c r="B122" s="6">
        <v>164</v>
      </c>
    </row>
    <row r="123" spans="1:2">
      <c r="A123" t="s">
        <v>69</v>
      </c>
      <c r="B123" s="6">
        <v>164</v>
      </c>
    </row>
    <row r="124" spans="1:2">
      <c r="A124" t="s">
        <v>69</v>
      </c>
      <c r="B124" s="6">
        <v>82</v>
      </c>
    </row>
    <row r="125" spans="1:2">
      <c r="A125" t="s">
        <v>69</v>
      </c>
      <c r="B125" s="6">
        <v>82</v>
      </c>
    </row>
    <row r="126" spans="1:2">
      <c r="A126" t="s">
        <v>53</v>
      </c>
      <c r="B126" s="6">
        <v>420</v>
      </c>
    </row>
    <row r="127" spans="1:2">
      <c r="A127" t="s">
        <v>53</v>
      </c>
      <c r="B127" s="6">
        <v>280</v>
      </c>
    </row>
    <row r="128" spans="1:2">
      <c r="A128" t="s">
        <v>53</v>
      </c>
      <c r="B128" s="6">
        <v>280</v>
      </c>
    </row>
    <row r="129" spans="1:2">
      <c r="A129" t="s">
        <v>53</v>
      </c>
      <c r="B129" s="6">
        <v>140</v>
      </c>
    </row>
    <row r="130" spans="1:2">
      <c r="A130" t="s">
        <v>53</v>
      </c>
      <c r="B130" s="6">
        <v>140</v>
      </c>
    </row>
    <row r="131" spans="1:2">
      <c r="A131" t="s">
        <v>89</v>
      </c>
      <c r="B131" s="6">
        <v>736</v>
      </c>
    </row>
    <row r="132" spans="1:2">
      <c r="A132" t="s">
        <v>89</v>
      </c>
      <c r="B132" s="6">
        <v>736</v>
      </c>
    </row>
    <row r="133" spans="1:2">
      <c r="A133" t="s">
        <v>89</v>
      </c>
      <c r="B133" s="6">
        <v>552</v>
      </c>
    </row>
    <row r="134" spans="1:2">
      <c r="A134" t="s">
        <v>89</v>
      </c>
      <c r="B134" s="6">
        <v>552</v>
      </c>
    </row>
    <row r="135" spans="1:2">
      <c r="A135" t="s">
        <v>89</v>
      </c>
      <c r="B135" s="6">
        <v>552</v>
      </c>
    </row>
    <row r="136" spans="1:2">
      <c r="A136" t="s">
        <v>89</v>
      </c>
      <c r="B136" s="6">
        <v>552</v>
      </c>
    </row>
    <row r="137" spans="1:2">
      <c r="A137" t="s">
        <v>89</v>
      </c>
      <c r="B137" s="6">
        <v>368</v>
      </c>
    </row>
    <row r="138" spans="1:2">
      <c r="A138" t="s">
        <v>89</v>
      </c>
      <c r="B138" s="6">
        <v>368</v>
      </c>
    </row>
    <row r="139" spans="1:2">
      <c r="A139" t="s">
        <v>89</v>
      </c>
      <c r="B139" s="6">
        <v>368</v>
      </c>
    </row>
    <row r="140" spans="1:2">
      <c r="A140" t="s">
        <v>89</v>
      </c>
      <c r="B140" s="6">
        <v>368</v>
      </c>
    </row>
    <row r="141" spans="1:2">
      <c r="A141" t="s">
        <v>134</v>
      </c>
      <c r="B141" s="6">
        <v>716</v>
      </c>
    </row>
    <row r="142" spans="1:2">
      <c r="A142" t="s">
        <v>134</v>
      </c>
      <c r="B142" s="6">
        <v>716</v>
      </c>
    </row>
    <row r="143" spans="1:2">
      <c r="A143" t="s">
        <v>134</v>
      </c>
      <c r="B143" s="6">
        <v>537</v>
      </c>
    </row>
    <row r="144" spans="1:2">
      <c r="A144" t="s">
        <v>134</v>
      </c>
      <c r="B144" s="6">
        <v>537</v>
      </c>
    </row>
    <row r="145" spans="1:2">
      <c r="A145" t="s">
        <v>134</v>
      </c>
      <c r="B145" s="6">
        <v>358</v>
      </c>
    </row>
    <row r="146" spans="1:2">
      <c r="A146" t="s">
        <v>134</v>
      </c>
      <c r="B146" s="6">
        <v>179</v>
      </c>
    </row>
    <row r="147" spans="1:2">
      <c r="A147" t="s">
        <v>56</v>
      </c>
      <c r="B147" s="6">
        <v>848</v>
      </c>
    </row>
    <row r="148" spans="1:2">
      <c r="A148" t="s">
        <v>56</v>
      </c>
      <c r="B148" s="6">
        <v>636</v>
      </c>
    </row>
    <row r="149" spans="1:2">
      <c r="A149" t="s">
        <v>56</v>
      </c>
      <c r="B149" s="6">
        <v>636</v>
      </c>
    </row>
    <row r="150" spans="1:2">
      <c r="A150" t="s">
        <v>56</v>
      </c>
      <c r="B150" s="6">
        <v>424</v>
      </c>
    </row>
    <row r="151" spans="1:2">
      <c r="A151" t="s">
        <v>56</v>
      </c>
      <c r="B151" s="6">
        <v>424</v>
      </c>
    </row>
    <row r="152" spans="1:2">
      <c r="A152" t="s">
        <v>56</v>
      </c>
      <c r="B152" s="6">
        <v>424</v>
      </c>
    </row>
    <row r="153" spans="1:2">
      <c r="A153" t="s">
        <v>56</v>
      </c>
      <c r="B153" s="6">
        <v>212</v>
      </c>
    </row>
    <row r="154" spans="1:2">
      <c r="A154" t="s">
        <v>164</v>
      </c>
      <c r="B154" s="6">
        <v>624</v>
      </c>
    </row>
    <row r="155" spans="1:2">
      <c r="A155" t="s">
        <v>164</v>
      </c>
      <c r="B155" s="6">
        <v>468</v>
      </c>
    </row>
    <row r="156" spans="1:2">
      <c r="A156" t="s">
        <v>164</v>
      </c>
      <c r="B156" s="6">
        <v>468</v>
      </c>
    </row>
    <row r="157" spans="1:2">
      <c r="A157" t="s">
        <v>164</v>
      </c>
      <c r="B157" s="6">
        <v>468</v>
      </c>
    </row>
    <row r="158" spans="1:2">
      <c r="A158" t="s">
        <v>164</v>
      </c>
      <c r="B158" s="6">
        <v>468</v>
      </c>
    </row>
    <row r="159" spans="1:2">
      <c r="A159" t="s">
        <v>164</v>
      </c>
      <c r="B159" s="6">
        <v>312</v>
      </c>
    </row>
    <row r="160" spans="1:2">
      <c r="A160" t="s">
        <v>164</v>
      </c>
      <c r="B160" s="6">
        <v>312</v>
      </c>
    </row>
    <row r="161" spans="1:2">
      <c r="A161" t="s">
        <v>164</v>
      </c>
      <c r="B161" s="6">
        <v>312</v>
      </c>
    </row>
    <row r="162" spans="1:2">
      <c r="A162" t="s">
        <v>164</v>
      </c>
      <c r="B162" s="6">
        <v>156</v>
      </c>
    </row>
    <row r="163" spans="1:2">
      <c r="A163" t="s">
        <v>164</v>
      </c>
      <c r="B163" s="6">
        <v>156</v>
      </c>
    </row>
    <row r="164" spans="1:2">
      <c r="A164" t="s">
        <v>164</v>
      </c>
      <c r="B164" s="6">
        <v>156</v>
      </c>
    </row>
    <row r="165" spans="1:2">
      <c r="A165" t="s">
        <v>164</v>
      </c>
      <c r="B165" s="6">
        <v>156</v>
      </c>
    </row>
    <row r="166" spans="1:2">
      <c r="A166" t="s">
        <v>164</v>
      </c>
      <c r="B166" s="6">
        <v>156</v>
      </c>
    </row>
    <row r="167" spans="1:2">
      <c r="A167" t="s">
        <v>164</v>
      </c>
      <c r="B167" s="6">
        <v>156</v>
      </c>
    </row>
    <row r="168" spans="1:2">
      <c r="A168" t="s">
        <v>212</v>
      </c>
      <c r="B168" s="6">
        <v>784</v>
      </c>
    </row>
    <row r="169" spans="1:2">
      <c r="A169" t="s">
        <v>212</v>
      </c>
      <c r="B169" s="6">
        <v>784</v>
      </c>
    </row>
    <row r="170" spans="1:2">
      <c r="A170" t="s">
        <v>212</v>
      </c>
      <c r="B170" s="6">
        <v>784</v>
      </c>
    </row>
    <row r="171" spans="1:2">
      <c r="A171" t="s">
        <v>212</v>
      </c>
      <c r="B171" s="6">
        <v>588</v>
      </c>
    </row>
    <row r="172" spans="1:2">
      <c r="A172" t="s">
        <v>212</v>
      </c>
      <c r="B172" s="6">
        <v>588</v>
      </c>
    </row>
    <row r="173" spans="1:2">
      <c r="A173" t="s">
        <v>212</v>
      </c>
      <c r="B173" s="6">
        <v>588</v>
      </c>
    </row>
    <row r="174" spans="1:2">
      <c r="A174" t="s">
        <v>212</v>
      </c>
      <c r="B174" s="6">
        <v>196</v>
      </c>
    </row>
    <row r="175" spans="1:2">
      <c r="A175" t="s">
        <v>212</v>
      </c>
      <c r="B175" s="6">
        <v>196</v>
      </c>
    </row>
    <row r="176" spans="1:2">
      <c r="A176" t="s">
        <v>181</v>
      </c>
      <c r="B176" s="6">
        <v>288</v>
      </c>
    </row>
    <row r="177" spans="1:2">
      <c r="A177" t="s">
        <v>181</v>
      </c>
      <c r="B177" s="6">
        <v>288</v>
      </c>
    </row>
    <row r="178" spans="1:2">
      <c r="A178" t="s">
        <v>181</v>
      </c>
      <c r="B178" s="6">
        <v>216</v>
      </c>
    </row>
    <row r="179" spans="1:2">
      <c r="A179" t="s">
        <v>181</v>
      </c>
      <c r="B179" s="6">
        <v>144</v>
      </c>
    </row>
    <row r="180" spans="1:2">
      <c r="A180" t="s">
        <v>181</v>
      </c>
      <c r="B180" s="6">
        <v>144</v>
      </c>
    </row>
    <row r="181" spans="1:2">
      <c r="A181" t="s">
        <v>181</v>
      </c>
      <c r="B181" s="6">
        <v>72</v>
      </c>
    </row>
    <row r="182" spans="1:2">
      <c r="A182" t="s">
        <v>181</v>
      </c>
      <c r="B182" s="6">
        <v>72</v>
      </c>
    </row>
    <row r="183" spans="1:2">
      <c r="A183" t="s">
        <v>181</v>
      </c>
      <c r="B183" s="6">
        <v>72</v>
      </c>
    </row>
    <row r="184" spans="1:2">
      <c r="A184" t="s">
        <v>238</v>
      </c>
      <c r="B184" s="6">
        <v>795</v>
      </c>
    </row>
    <row r="185" spans="1:2">
      <c r="A185" t="s">
        <v>238</v>
      </c>
      <c r="B185" s="6">
        <v>530</v>
      </c>
    </row>
    <row r="186" spans="1:2">
      <c r="A186" t="s">
        <v>238</v>
      </c>
      <c r="B186" s="6">
        <v>265</v>
      </c>
    </row>
    <row r="187" spans="1:2">
      <c r="A187" t="s">
        <v>238</v>
      </c>
      <c r="B187" s="6">
        <v>265</v>
      </c>
    </row>
    <row r="188" spans="1:2">
      <c r="A188" t="s">
        <v>238</v>
      </c>
      <c r="B188" s="6">
        <v>265</v>
      </c>
    </row>
    <row r="189" spans="1:2">
      <c r="A189" t="s">
        <v>68</v>
      </c>
      <c r="B189" s="6">
        <v>1180</v>
      </c>
    </row>
    <row r="190" spans="1:2">
      <c r="A190" t="s">
        <v>68</v>
      </c>
      <c r="B190" s="6">
        <v>1180</v>
      </c>
    </row>
    <row r="191" spans="1:2">
      <c r="A191" t="s">
        <v>68</v>
      </c>
      <c r="B191" s="6">
        <v>1180</v>
      </c>
    </row>
    <row r="192" spans="1:2">
      <c r="A192" t="s">
        <v>68</v>
      </c>
      <c r="B192" s="6">
        <v>885</v>
      </c>
    </row>
    <row r="193" spans="1:2">
      <c r="A193" t="s">
        <v>68</v>
      </c>
      <c r="B193" s="6">
        <v>885</v>
      </c>
    </row>
    <row r="194" spans="1:2">
      <c r="A194" t="s">
        <v>68</v>
      </c>
      <c r="B194" s="6">
        <v>590</v>
      </c>
    </row>
    <row r="195" spans="1:2">
      <c r="A195" t="s">
        <v>68</v>
      </c>
      <c r="B195" s="6">
        <v>590</v>
      </c>
    </row>
    <row r="196" spans="1:2">
      <c r="A196" t="s">
        <v>68</v>
      </c>
      <c r="B196" s="6">
        <v>590</v>
      </c>
    </row>
    <row r="197" spans="1:2">
      <c r="A197" t="s">
        <v>68</v>
      </c>
      <c r="B197" s="6">
        <v>295</v>
      </c>
    </row>
    <row r="198" spans="1:2">
      <c r="A198" t="s">
        <v>68</v>
      </c>
      <c r="B198" s="6">
        <v>295</v>
      </c>
    </row>
    <row r="199" spans="1:2">
      <c r="A199" t="s">
        <v>68</v>
      </c>
      <c r="B199" s="6">
        <v>295</v>
      </c>
    </row>
    <row r="200" spans="1:2">
      <c r="A200" t="s">
        <v>126</v>
      </c>
      <c r="B200" s="6">
        <v>708</v>
      </c>
    </row>
    <row r="201" spans="1:2">
      <c r="A201" t="s">
        <v>126</v>
      </c>
      <c r="B201" s="6">
        <v>531</v>
      </c>
    </row>
    <row r="202" spans="1:2">
      <c r="A202" t="s">
        <v>126</v>
      </c>
      <c r="B202" s="6">
        <v>531</v>
      </c>
    </row>
    <row r="203" spans="1:2">
      <c r="A203" t="s">
        <v>126</v>
      </c>
      <c r="B203" s="6">
        <v>354</v>
      </c>
    </row>
    <row r="204" spans="1:2">
      <c r="A204" t="s">
        <v>126</v>
      </c>
      <c r="B204" s="6">
        <v>354</v>
      </c>
    </row>
    <row r="205" spans="1:2">
      <c r="A205" t="s">
        <v>126</v>
      </c>
      <c r="B205" s="6">
        <v>177</v>
      </c>
    </row>
    <row r="206" spans="1:2">
      <c r="A206" t="s">
        <v>126</v>
      </c>
      <c r="B206" s="6">
        <v>177</v>
      </c>
    </row>
    <row r="207" spans="1:2">
      <c r="A207" t="s">
        <v>126</v>
      </c>
      <c r="B207" s="6">
        <v>177</v>
      </c>
    </row>
    <row r="208" spans="1:2">
      <c r="A208" t="s">
        <v>126</v>
      </c>
      <c r="B208" s="6">
        <v>177</v>
      </c>
    </row>
    <row r="209" spans="1:2">
      <c r="A209" t="s">
        <v>126</v>
      </c>
      <c r="B209" s="6">
        <v>177</v>
      </c>
    </row>
    <row r="210" spans="1:2">
      <c r="A210" t="s">
        <v>236</v>
      </c>
      <c r="B210" s="6">
        <v>480</v>
      </c>
    </row>
    <row r="211" spans="1:2">
      <c r="A211" t="s">
        <v>236</v>
      </c>
      <c r="B211" s="6">
        <v>480</v>
      </c>
    </row>
    <row r="212" spans="1:2">
      <c r="A212" t="s">
        <v>236</v>
      </c>
      <c r="B212" s="6">
        <v>480</v>
      </c>
    </row>
    <row r="213" spans="1:2">
      <c r="A213" t="s">
        <v>236</v>
      </c>
      <c r="B213" s="6">
        <v>480</v>
      </c>
    </row>
    <row r="214" spans="1:2">
      <c r="A214" t="s">
        <v>236</v>
      </c>
      <c r="B214" s="6">
        <v>480</v>
      </c>
    </row>
    <row r="215" spans="1:2">
      <c r="A215" t="s">
        <v>236</v>
      </c>
      <c r="B215" s="6">
        <v>480</v>
      </c>
    </row>
    <row r="216" spans="1:2">
      <c r="A216" t="s">
        <v>236</v>
      </c>
      <c r="B216" s="6">
        <v>480</v>
      </c>
    </row>
    <row r="217" spans="1:2">
      <c r="A217" t="s">
        <v>236</v>
      </c>
      <c r="B217" s="6">
        <v>360</v>
      </c>
    </row>
    <row r="218" spans="1:2">
      <c r="A218" t="s">
        <v>236</v>
      </c>
      <c r="B218" s="6">
        <v>360</v>
      </c>
    </row>
    <row r="219" spans="1:2">
      <c r="A219" t="s">
        <v>236</v>
      </c>
      <c r="B219" s="6">
        <v>240</v>
      </c>
    </row>
    <row r="220" spans="1:2">
      <c r="A220" t="s">
        <v>236</v>
      </c>
      <c r="B220" s="6">
        <v>240</v>
      </c>
    </row>
    <row r="221" spans="1:2">
      <c r="A221" t="s">
        <v>236</v>
      </c>
      <c r="B221" s="6">
        <v>240</v>
      </c>
    </row>
    <row r="222" spans="1:2">
      <c r="A222" t="s">
        <v>236</v>
      </c>
      <c r="B222" s="6">
        <v>120</v>
      </c>
    </row>
    <row r="223" spans="1:2">
      <c r="A223" t="s">
        <v>236</v>
      </c>
      <c r="B223" s="6">
        <v>120</v>
      </c>
    </row>
    <row r="224" spans="1:2">
      <c r="A224" t="s">
        <v>99</v>
      </c>
      <c r="B224" s="6">
        <v>580</v>
      </c>
    </row>
    <row r="225" spans="1:2">
      <c r="A225" t="s">
        <v>99</v>
      </c>
      <c r="B225" s="6">
        <v>435</v>
      </c>
    </row>
    <row r="226" spans="1:2">
      <c r="A226" t="s">
        <v>99</v>
      </c>
      <c r="B226" s="6">
        <v>435</v>
      </c>
    </row>
    <row r="227" spans="1:2">
      <c r="A227" t="s">
        <v>99</v>
      </c>
      <c r="B227" s="6">
        <v>290</v>
      </c>
    </row>
    <row r="228" spans="1:2">
      <c r="A228" t="s">
        <v>99</v>
      </c>
      <c r="B228" s="6">
        <v>290</v>
      </c>
    </row>
    <row r="229" spans="1:2">
      <c r="A229" t="s">
        <v>99</v>
      </c>
      <c r="B229" s="6">
        <v>145</v>
      </c>
    </row>
    <row r="230" spans="1:2">
      <c r="A230" t="s">
        <v>99</v>
      </c>
      <c r="B230" s="6">
        <v>145</v>
      </c>
    </row>
    <row r="231" spans="1:2">
      <c r="A231" t="s">
        <v>99</v>
      </c>
      <c r="B231" s="6">
        <v>145</v>
      </c>
    </row>
    <row r="232" spans="1:2">
      <c r="A232" t="s">
        <v>195</v>
      </c>
      <c r="B232" s="6">
        <v>1044</v>
      </c>
    </row>
    <row r="233" spans="1:2">
      <c r="A233" t="s">
        <v>195</v>
      </c>
      <c r="B233" s="6">
        <v>1044</v>
      </c>
    </row>
    <row r="234" spans="1:2">
      <c r="A234" t="s">
        <v>195</v>
      </c>
      <c r="B234" s="6">
        <v>1044</v>
      </c>
    </row>
    <row r="235" spans="1:2">
      <c r="A235" t="s">
        <v>195</v>
      </c>
      <c r="B235" s="6">
        <v>1044</v>
      </c>
    </row>
    <row r="236" spans="1:2">
      <c r="A236" t="s">
        <v>195</v>
      </c>
      <c r="B236" s="6">
        <v>783</v>
      </c>
    </row>
    <row r="237" spans="1:2">
      <c r="A237" t="s">
        <v>195</v>
      </c>
      <c r="B237" s="6">
        <v>783</v>
      </c>
    </row>
    <row r="238" spans="1:2">
      <c r="A238" t="s">
        <v>195</v>
      </c>
      <c r="B238" s="6">
        <v>522</v>
      </c>
    </row>
    <row r="239" spans="1:2">
      <c r="A239" t="s">
        <v>195</v>
      </c>
      <c r="B239" s="6">
        <v>261</v>
      </c>
    </row>
    <row r="240" spans="1:2">
      <c r="A240" t="s">
        <v>46</v>
      </c>
      <c r="B240" s="6">
        <v>764</v>
      </c>
    </row>
    <row r="241" spans="1:2">
      <c r="A241" t="s">
        <v>46</v>
      </c>
      <c r="B241" s="6">
        <v>764</v>
      </c>
    </row>
    <row r="242" spans="1:2">
      <c r="A242" t="s">
        <v>46</v>
      </c>
      <c r="B242" s="6">
        <v>573</v>
      </c>
    </row>
    <row r="243" spans="1:2">
      <c r="A243" t="s">
        <v>46</v>
      </c>
      <c r="B243" s="6">
        <v>573</v>
      </c>
    </row>
    <row r="244" spans="1:2">
      <c r="A244" t="s">
        <v>46</v>
      </c>
      <c r="B244" s="6">
        <v>573</v>
      </c>
    </row>
    <row r="245" spans="1:2">
      <c r="A245" t="s">
        <v>46</v>
      </c>
      <c r="B245" s="6">
        <v>382</v>
      </c>
    </row>
    <row r="246" spans="1:2">
      <c r="A246" t="s">
        <v>46</v>
      </c>
      <c r="B246" s="6">
        <v>382</v>
      </c>
    </row>
    <row r="247" spans="1:2">
      <c r="A247" t="s">
        <v>46</v>
      </c>
      <c r="B247" s="6">
        <v>382</v>
      </c>
    </row>
    <row r="248" spans="1:2">
      <c r="A248" t="s">
        <v>46</v>
      </c>
      <c r="B248" s="6">
        <v>191</v>
      </c>
    </row>
    <row r="249" spans="1:2">
      <c r="A249" t="s">
        <v>46</v>
      </c>
      <c r="B249" s="6">
        <v>191</v>
      </c>
    </row>
    <row r="250" spans="1:2">
      <c r="A250" t="s">
        <v>224</v>
      </c>
      <c r="B250" s="6">
        <v>354</v>
      </c>
    </row>
    <row r="251" spans="1:2">
      <c r="A251" t="s">
        <v>224</v>
      </c>
      <c r="B251" s="6">
        <v>354</v>
      </c>
    </row>
    <row r="252" spans="1:2">
      <c r="A252" t="s">
        <v>224</v>
      </c>
      <c r="B252" s="6">
        <v>354</v>
      </c>
    </row>
    <row r="253" spans="1:2">
      <c r="A253" t="s">
        <v>224</v>
      </c>
      <c r="B253" s="6">
        <v>354</v>
      </c>
    </row>
    <row r="254" spans="1:2">
      <c r="A254" t="s">
        <v>224</v>
      </c>
      <c r="B254" s="6">
        <v>354</v>
      </c>
    </row>
    <row r="255" spans="1:2">
      <c r="A255" t="s">
        <v>224</v>
      </c>
      <c r="B255" s="6">
        <v>354</v>
      </c>
    </row>
    <row r="256" spans="1:2">
      <c r="A256" t="s">
        <v>224</v>
      </c>
      <c r="B256" s="6">
        <v>236</v>
      </c>
    </row>
    <row r="257" spans="1:2">
      <c r="A257" t="s">
        <v>224</v>
      </c>
      <c r="B257" s="6">
        <v>236</v>
      </c>
    </row>
    <row r="258" spans="1:2">
      <c r="A258" t="s">
        <v>224</v>
      </c>
      <c r="B258" s="6">
        <v>118</v>
      </c>
    </row>
    <row r="259" spans="1:2">
      <c r="A259" t="s">
        <v>224</v>
      </c>
      <c r="B259" s="6">
        <v>118</v>
      </c>
    </row>
    <row r="260" spans="1:2">
      <c r="A260" t="s">
        <v>224</v>
      </c>
      <c r="B260" s="6">
        <v>118</v>
      </c>
    </row>
    <row r="261" spans="1:2">
      <c r="A261" t="s">
        <v>224</v>
      </c>
      <c r="B261" s="6">
        <v>118</v>
      </c>
    </row>
    <row r="262" spans="1:2">
      <c r="A262" t="s">
        <v>39</v>
      </c>
      <c r="B262" s="6">
        <v>952</v>
      </c>
    </row>
    <row r="263" spans="1:2">
      <c r="A263" t="s">
        <v>39</v>
      </c>
      <c r="B263" s="6">
        <v>952</v>
      </c>
    </row>
    <row r="264" spans="1:2">
      <c r="A264" t="s">
        <v>39</v>
      </c>
      <c r="B264" s="6">
        <v>714</v>
      </c>
    </row>
    <row r="265" spans="1:2">
      <c r="A265" t="s">
        <v>39</v>
      </c>
      <c r="B265" s="6">
        <v>476</v>
      </c>
    </row>
    <row r="266" spans="1:2">
      <c r="A266" t="s">
        <v>39</v>
      </c>
      <c r="B266" s="6">
        <v>476</v>
      </c>
    </row>
    <row r="267" spans="1:2">
      <c r="A267" t="s">
        <v>39</v>
      </c>
      <c r="B267" s="6">
        <v>476</v>
      </c>
    </row>
    <row r="268" spans="1:2">
      <c r="A268" t="s">
        <v>39</v>
      </c>
      <c r="B268" s="6">
        <v>476</v>
      </c>
    </row>
    <row r="269" spans="1:2">
      <c r="A269" t="s">
        <v>39</v>
      </c>
      <c r="B269" s="6">
        <v>476</v>
      </c>
    </row>
    <row r="270" spans="1:2">
      <c r="A270" t="s">
        <v>39</v>
      </c>
      <c r="B270" s="6">
        <v>238</v>
      </c>
    </row>
    <row r="271" spans="1:2">
      <c r="A271" t="s">
        <v>55</v>
      </c>
      <c r="B271">
        <v>564</v>
      </c>
    </row>
    <row r="272" spans="1:2">
      <c r="A272" t="s">
        <v>55</v>
      </c>
      <c r="B272" s="6">
        <v>564</v>
      </c>
    </row>
    <row r="273" spans="1:2">
      <c r="A273" t="s">
        <v>55</v>
      </c>
      <c r="B273" s="6">
        <v>564</v>
      </c>
    </row>
    <row r="274" spans="1:2">
      <c r="A274" t="s">
        <v>55</v>
      </c>
      <c r="B274" s="6">
        <v>564</v>
      </c>
    </row>
    <row r="275" spans="1:2">
      <c r="A275" t="s">
        <v>55</v>
      </c>
      <c r="B275" s="6">
        <v>423</v>
      </c>
    </row>
    <row r="276" spans="1:2">
      <c r="A276" t="s">
        <v>55</v>
      </c>
      <c r="B276" s="6">
        <v>423</v>
      </c>
    </row>
    <row r="277" spans="1:2">
      <c r="A277" t="s">
        <v>55</v>
      </c>
      <c r="B277" s="6">
        <v>282</v>
      </c>
    </row>
    <row r="278" spans="1:2">
      <c r="A278" t="s">
        <v>55</v>
      </c>
      <c r="B278" s="6">
        <v>282</v>
      </c>
    </row>
    <row r="279" spans="1:2">
      <c r="A279" t="s">
        <v>55</v>
      </c>
      <c r="B279" s="6">
        <v>282</v>
      </c>
    </row>
    <row r="280" spans="1:2">
      <c r="A280" t="s">
        <v>55</v>
      </c>
      <c r="B280" s="6">
        <v>282</v>
      </c>
    </row>
    <row r="281" spans="1:2">
      <c r="A281" t="s">
        <v>55</v>
      </c>
      <c r="B281" s="6">
        <v>141</v>
      </c>
    </row>
    <row r="282" spans="1:2">
      <c r="A282" t="s">
        <v>55</v>
      </c>
      <c r="B282" s="6">
        <v>141</v>
      </c>
    </row>
    <row r="283" spans="1:2">
      <c r="A283" t="s">
        <v>41</v>
      </c>
      <c r="B283" s="6">
        <v>500</v>
      </c>
    </row>
    <row r="284" spans="1:2">
      <c r="A284" t="s">
        <v>41</v>
      </c>
      <c r="B284" s="6">
        <v>375</v>
      </c>
    </row>
    <row r="285" spans="1:2">
      <c r="A285" t="s">
        <v>41</v>
      </c>
      <c r="B285" s="6">
        <v>250</v>
      </c>
    </row>
    <row r="286" spans="1:2">
      <c r="A286" t="s">
        <v>41</v>
      </c>
      <c r="B286" s="6">
        <v>250</v>
      </c>
    </row>
    <row r="287" spans="1:2">
      <c r="A287" t="s">
        <v>41</v>
      </c>
      <c r="B287" s="6">
        <v>250</v>
      </c>
    </row>
    <row r="288" spans="1:2">
      <c r="A288" t="s">
        <v>41</v>
      </c>
      <c r="B288" s="6">
        <v>250</v>
      </c>
    </row>
    <row r="289" spans="1:2">
      <c r="A289" t="s">
        <v>201</v>
      </c>
      <c r="B289" s="6">
        <v>492</v>
      </c>
    </row>
    <row r="290" spans="1:2">
      <c r="A290" t="s">
        <v>201</v>
      </c>
      <c r="B290" s="6">
        <v>492</v>
      </c>
    </row>
    <row r="291" spans="1:2">
      <c r="A291" t="s">
        <v>201</v>
      </c>
      <c r="B291" s="6">
        <v>246</v>
      </c>
    </row>
    <row r="292" spans="1:2">
      <c r="A292" t="s">
        <v>201</v>
      </c>
      <c r="B292" s="6">
        <v>246</v>
      </c>
    </row>
    <row r="293" spans="1:2">
      <c r="A293" t="s">
        <v>201</v>
      </c>
      <c r="B293" s="6">
        <v>246</v>
      </c>
    </row>
    <row r="294" spans="1:2">
      <c r="A294" t="s">
        <v>201</v>
      </c>
      <c r="B294" s="6">
        <v>246</v>
      </c>
    </row>
    <row r="295" spans="1:2">
      <c r="A295" t="s">
        <v>201</v>
      </c>
      <c r="B295" s="6">
        <v>123</v>
      </c>
    </row>
    <row r="296" spans="1:2">
      <c r="A296" t="s">
        <v>201</v>
      </c>
      <c r="B296" s="6">
        <v>123</v>
      </c>
    </row>
    <row r="297" spans="1:2">
      <c r="A297" t="s">
        <v>201</v>
      </c>
      <c r="B297" s="6">
        <v>123</v>
      </c>
    </row>
    <row r="298" spans="1:2">
      <c r="A298" t="s">
        <v>201</v>
      </c>
      <c r="B298" s="6">
        <v>123</v>
      </c>
    </row>
    <row r="299" spans="1:2">
      <c r="A299" t="s">
        <v>187</v>
      </c>
      <c r="B299" s="6">
        <v>272</v>
      </c>
    </row>
    <row r="300" spans="1:2">
      <c r="A300" t="s">
        <v>187</v>
      </c>
      <c r="B300" s="6">
        <v>204</v>
      </c>
    </row>
    <row r="301" spans="1:2">
      <c r="A301" t="s">
        <v>187</v>
      </c>
      <c r="B301" s="6">
        <v>136</v>
      </c>
    </row>
    <row r="302" spans="1:2">
      <c r="A302" t="s">
        <v>187</v>
      </c>
      <c r="B302" s="6">
        <v>68</v>
      </c>
    </row>
    <row r="303" spans="1:2">
      <c r="A303" t="s">
        <v>187</v>
      </c>
      <c r="B303" s="6">
        <v>68</v>
      </c>
    </row>
    <row r="304" spans="1:2">
      <c r="A304" t="s">
        <v>187</v>
      </c>
      <c r="B304" s="6">
        <v>68</v>
      </c>
    </row>
    <row r="305" spans="1:2">
      <c r="A305" t="s">
        <v>187</v>
      </c>
      <c r="B305" s="6">
        <v>68</v>
      </c>
    </row>
    <row r="306" spans="1:2">
      <c r="A306" t="s">
        <v>331</v>
      </c>
      <c r="B306" s="6">
        <v>512</v>
      </c>
    </row>
    <row r="307" spans="1:2">
      <c r="A307" t="s">
        <v>331</v>
      </c>
      <c r="B307" s="6">
        <v>384</v>
      </c>
    </row>
    <row r="308" spans="1:2">
      <c r="A308" t="s">
        <v>331</v>
      </c>
      <c r="B308" s="6">
        <v>256</v>
      </c>
    </row>
    <row r="309" spans="1:2">
      <c r="A309" t="s">
        <v>331</v>
      </c>
      <c r="B309" s="6">
        <v>256</v>
      </c>
    </row>
    <row r="310" spans="1:2">
      <c r="A310" t="s">
        <v>331</v>
      </c>
      <c r="B310" s="6">
        <v>256</v>
      </c>
    </row>
    <row r="311" spans="1:2">
      <c r="A311" t="s">
        <v>80</v>
      </c>
      <c r="B311" s="6">
        <v>284</v>
      </c>
    </row>
    <row r="312" spans="1:2">
      <c r="A312" t="s">
        <v>80</v>
      </c>
      <c r="B312" s="6">
        <v>284</v>
      </c>
    </row>
    <row r="313" spans="1:2">
      <c r="A313" t="s">
        <v>80</v>
      </c>
      <c r="B313" s="6">
        <v>213</v>
      </c>
    </row>
    <row r="314" spans="1:2">
      <c r="A314" t="s">
        <v>80</v>
      </c>
      <c r="B314" s="6">
        <v>213</v>
      </c>
    </row>
    <row r="315" spans="1:2">
      <c r="A315" t="s">
        <v>80</v>
      </c>
      <c r="B315" s="6">
        <v>213</v>
      </c>
    </row>
    <row r="316" spans="1:2">
      <c r="A316" t="s">
        <v>80</v>
      </c>
      <c r="B316" s="6">
        <v>213</v>
      </c>
    </row>
    <row r="317" spans="1:2">
      <c r="A317" t="s">
        <v>80</v>
      </c>
      <c r="B317" s="6">
        <v>142</v>
      </c>
    </row>
    <row r="318" spans="1:2">
      <c r="A318" t="s">
        <v>80</v>
      </c>
      <c r="B318" s="6">
        <v>71</v>
      </c>
    </row>
    <row r="319" spans="1:2">
      <c r="A319" t="s">
        <v>80</v>
      </c>
      <c r="B319" s="6">
        <v>71</v>
      </c>
    </row>
    <row r="320" spans="1:2">
      <c r="A320" t="s">
        <v>80</v>
      </c>
      <c r="B320" s="6">
        <v>71</v>
      </c>
    </row>
    <row r="321" spans="1:2">
      <c r="A321" t="s">
        <v>80</v>
      </c>
      <c r="B321" s="6">
        <v>71</v>
      </c>
    </row>
    <row r="322" spans="1:2">
      <c r="A322" t="s">
        <v>80</v>
      </c>
      <c r="B322" s="6">
        <v>71</v>
      </c>
    </row>
    <row r="323" spans="1:2">
      <c r="A323" t="s">
        <v>80</v>
      </c>
      <c r="B323" s="6">
        <v>71</v>
      </c>
    </row>
    <row r="324" spans="1:2">
      <c r="A324" t="s">
        <v>37</v>
      </c>
      <c r="B324" s="6">
        <v>846</v>
      </c>
    </row>
    <row r="325" spans="1:2">
      <c r="A325" t="s">
        <v>37</v>
      </c>
      <c r="B325" s="6">
        <v>564</v>
      </c>
    </row>
    <row r="326" spans="1:2">
      <c r="A326" t="s">
        <v>37</v>
      </c>
      <c r="B326" s="6">
        <v>564</v>
      </c>
    </row>
    <row r="327" spans="1:2">
      <c r="A327" t="s">
        <v>37</v>
      </c>
      <c r="B327" s="6">
        <v>564</v>
      </c>
    </row>
    <row r="328" spans="1:2">
      <c r="A328" t="s">
        <v>37</v>
      </c>
      <c r="B328" s="6">
        <v>282</v>
      </c>
    </row>
    <row r="329" spans="1:2">
      <c r="A329" t="s">
        <v>37</v>
      </c>
      <c r="B329" s="6">
        <v>282</v>
      </c>
    </row>
    <row r="330" spans="1:2">
      <c r="A330" t="s">
        <v>37</v>
      </c>
      <c r="B330" s="6">
        <v>282</v>
      </c>
    </row>
    <row r="331" spans="1:2">
      <c r="A331" t="s">
        <v>167</v>
      </c>
      <c r="B331" s="6">
        <v>724</v>
      </c>
    </row>
    <row r="332" spans="1:2">
      <c r="A332" t="s">
        <v>167</v>
      </c>
      <c r="B332" s="6">
        <v>724</v>
      </c>
    </row>
    <row r="333" spans="1:2">
      <c r="A333" t="s">
        <v>167</v>
      </c>
      <c r="B333" s="6">
        <v>543</v>
      </c>
    </row>
    <row r="334" spans="1:2">
      <c r="A334" t="s">
        <v>167</v>
      </c>
      <c r="B334" s="6">
        <v>543</v>
      </c>
    </row>
    <row r="335" spans="1:2">
      <c r="A335" t="s">
        <v>167</v>
      </c>
      <c r="B335" s="6">
        <v>543</v>
      </c>
    </row>
    <row r="336" spans="1:2">
      <c r="A336" t="s">
        <v>167</v>
      </c>
      <c r="B336" s="6">
        <v>362</v>
      </c>
    </row>
    <row r="337" spans="1:2">
      <c r="A337" t="s">
        <v>167</v>
      </c>
      <c r="B337" s="6">
        <v>362</v>
      </c>
    </row>
    <row r="338" spans="1:2">
      <c r="A338" t="s">
        <v>167</v>
      </c>
      <c r="B338" s="6">
        <v>362</v>
      </c>
    </row>
    <row r="339" spans="1:2">
      <c r="A339" t="s">
        <v>167</v>
      </c>
      <c r="B339" s="6">
        <v>181</v>
      </c>
    </row>
    <row r="340" spans="1:2">
      <c r="A340" t="s">
        <v>167</v>
      </c>
      <c r="B340" s="6">
        <v>181</v>
      </c>
    </row>
    <row r="341" spans="1:2">
      <c r="A341" t="s">
        <v>167</v>
      </c>
      <c r="B341" s="6">
        <v>181</v>
      </c>
    </row>
    <row r="342" spans="1:2">
      <c r="A342" t="s">
        <v>217</v>
      </c>
      <c r="B342" s="6">
        <v>892</v>
      </c>
    </row>
    <row r="343" spans="1:2">
      <c r="A343" t="s">
        <v>217</v>
      </c>
      <c r="B343" s="6">
        <v>892</v>
      </c>
    </row>
    <row r="344" spans="1:2">
      <c r="A344" t="s">
        <v>217</v>
      </c>
      <c r="B344" s="6">
        <v>892</v>
      </c>
    </row>
    <row r="345" spans="1:2">
      <c r="A345" t="s">
        <v>217</v>
      </c>
      <c r="B345" s="6">
        <v>669</v>
      </c>
    </row>
    <row r="346" spans="1:2">
      <c r="A346" t="s">
        <v>217</v>
      </c>
      <c r="B346" s="6">
        <v>446</v>
      </c>
    </row>
    <row r="347" spans="1:2">
      <c r="A347" t="s">
        <v>217</v>
      </c>
      <c r="B347" s="6">
        <v>446</v>
      </c>
    </row>
    <row r="348" spans="1:2">
      <c r="A348" t="s">
        <v>217</v>
      </c>
      <c r="B348" s="6">
        <v>223</v>
      </c>
    </row>
    <row r="349" spans="1:2">
      <c r="A349" t="s">
        <v>217</v>
      </c>
      <c r="B349" s="6">
        <v>223</v>
      </c>
    </row>
    <row r="350" spans="1:2">
      <c r="A350" t="s">
        <v>120</v>
      </c>
      <c r="B350" s="6">
        <v>208</v>
      </c>
    </row>
    <row r="351" spans="1:2">
      <c r="A351" t="s">
        <v>120</v>
      </c>
      <c r="B351" s="6">
        <v>208</v>
      </c>
    </row>
    <row r="352" spans="1:2">
      <c r="A352" t="s">
        <v>120</v>
      </c>
      <c r="B352" s="6">
        <v>208</v>
      </c>
    </row>
    <row r="353" spans="1:2">
      <c r="A353" t="s">
        <v>120</v>
      </c>
      <c r="B353" s="6">
        <v>208</v>
      </c>
    </row>
    <row r="354" spans="1:2">
      <c r="A354" t="s">
        <v>120</v>
      </c>
      <c r="B354" s="6">
        <v>156</v>
      </c>
    </row>
    <row r="355" spans="1:2">
      <c r="A355" t="s">
        <v>120</v>
      </c>
      <c r="B355" s="6">
        <v>156</v>
      </c>
    </row>
    <row r="356" spans="1:2">
      <c r="A356" t="s">
        <v>120</v>
      </c>
      <c r="B356" s="6">
        <v>156</v>
      </c>
    </row>
    <row r="357" spans="1:2">
      <c r="A357" t="s">
        <v>120</v>
      </c>
      <c r="B357" s="6">
        <v>156</v>
      </c>
    </row>
    <row r="358" spans="1:2">
      <c r="A358" t="s">
        <v>120</v>
      </c>
      <c r="B358" s="6">
        <v>156</v>
      </c>
    </row>
    <row r="359" spans="1:2">
      <c r="A359" t="s">
        <v>120</v>
      </c>
      <c r="B359" s="6">
        <v>104</v>
      </c>
    </row>
    <row r="360" spans="1:2">
      <c r="A360" t="s">
        <v>120</v>
      </c>
      <c r="B360" s="6">
        <v>104</v>
      </c>
    </row>
    <row r="361" spans="1:2">
      <c r="A361" t="s">
        <v>120</v>
      </c>
      <c r="B361" s="6">
        <v>104</v>
      </c>
    </row>
    <row r="362" spans="1:2">
      <c r="A362" t="s">
        <v>120</v>
      </c>
      <c r="B362" s="6">
        <v>52</v>
      </c>
    </row>
    <row r="363" spans="1:2">
      <c r="A363" t="s">
        <v>120</v>
      </c>
      <c r="B363" s="6">
        <v>52</v>
      </c>
    </row>
    <row r="364" spans="1:2">
      <c r="A364" t="s">
        <v>247</v>
      </c>
      <c r="B364" s="6">
        <v>280</v>
      </c>
    </row>
    <row r="365" spans="1:2">
      <c r="A365" t="s">
        <v>247</v>
      </c>
      <c r="B365" s="6">
        <v>280</v>
      </c>
    </row>
    <row r="366" spans="1:2">
      <c r="A366" t="s">
        <v>247</v>
      </c>
      <c r="B366" s="6">
        <v>210</v>
      </c>
    </row>
    <row r="367" spans="1:2">
      <c r="A367" t="s">
        <v>247</v>
      </c>
      <c r="B367" s="6">
        <v>210</v>
      </c>
    </row>
    <row r="368" spans="1:2">
      <c r="A368" t="s">
        <v>247</v>
      </c>
      <c r="B368" s="6">
        <v>140</v>
      </c>
    </row>
    <row r="369" spans="1:2">
      <c r="A369" t="s">
        <v>247</v>
      </c>
      <c r="B369" s="6">
        <v>140</v>
      </c>
    </row>
    <row r="370" spans="1:2">
      <c r="A370" t="s">
        <v>247</v>
      </c>
      <c r="B370" s="6">
        <v>140</v>
      </c>
    </row>
    <row r="371" spans="1:2">
      <c r="A371" t="s">
        <v>247</v>
      </c>
      <c r="B371" s="6">
        <v>140</v>
      </c>
    </row>
    <row r="372" spans="1:2">
      <c r="A372" t="s">
        <v>247</v>
      </c>
      <c r="B372" s="6">
        <v>140</v>
      </c>
    </row>
    <row r="373" spans="1:2">
      <c r="A373" t="s">
        <v>247</v>
      </c>
      <c r="B373" s="6">
        <v>140</v>
      </c>
    </row>
    <row r="374" spans="1:2">
      <c r="A374" t="s">
        <v>247</v>
      </c>
      <c r="B374" s="6">
        <v>70</v>
      </c>
    </row>
    <row r="375" spans="1:2">
      <c r="A375" t="s">
        <v>103</v>
      </c>
      <c r="B375" s="6">
        <v>740</v>
      </c>
    </row>
    <row r="376" spans="1:2">
      <c r="A376" t="s">
        <v>103</v>
      </c>
      <c r="B376" s="6">
        <v>740</v>
      </c>
    </row>
    <row r="377" spans="1:2">
      <c r="A377" t="s">
        <v>103</v>
      </c>
      <c r="B377" s="6">
        <v>555</v>
      </c>
    </row>
    <row r="378" spans="1:2">
      <c r="A378" t="s">
        <v>103</v>
      </c>
      <c r="B378" s="6">
        <v>555</v>
      </c>
    </row>
    <row r="379" spans="1:2">
      <c r="A379" t="s">
        <v>103</v>
      </c>
      <c r="B379" s="6">
        <v>370</v>
      </c>
    </row>
    <row r="380" spans="1:2">
      <c r="A380" t="s">
        <v>103</v>
      </c>
      <c r="B380" s="6">
        <v>370</v>
      </c>
    </row>
    <row r="381" spans="1:2">
      <c r="A381" t="s">
        <v>103</v>
      </c>
      <c r="B381" s="6">
        <v>370</v>
      </c>
    </row>
    <row r="382" spans="1:2">
      <c r="A382" t="s">
        <v>103</v>
      </c>
      <c r="B382" s="6">
        <v>370</v>
      </c>
    </row>
    <row r="383" spans="1:2">
      <c r="A383" t="s">
        <v>103</v>
      </c>
      <c r="B383" s="6">
        <v>185</v>
      </c>
    </row>
    <row r="384" spans="1:2">
      <c r="A384" t="s">
        <v>103</v>
      </c>
      <c r="B384" s="6">
        <v>185</v>
      </c>
    </row>
    <row r="385" spans="1:2">
      <c r="A385" t="s">
        <v>103</v>
      </c>
      <c r="B385" s="6">
        <v>185</v>
      </c>
    </row>
    <row r="386" spans="1:2">
      <c r="A386" t="s">
        <v>103</v>
      </c>
      <c r="B386" s="6">
        <v>185</v>
      </c>
    </row>
    <row r="387" spans="1:2">
      <c r="A387" t="s">
        <v>103</v>
      </c>
      <c r="B387" s="6">
        <v>185</v>
      </c>
    </row>
    <row r="388" spans="1:2">
      <c r="A388" t="s">
        <v>103</v>
      </c>
      <c r="B388" s="6">
        <v>185</v>
      </c>
    </row>
    <row r="389" spans="1:2">
      <c r="A389" t="s">
        <v>207</v>
      </c>
      <c r="B389" s="6">
        <v>441</v>
      </c>
    </row>
    <row r="390" spans="1:2">
      <c r="A390" t="s">
        <v>207</v>
      </c>
      <c r="B390" s="6">
        <v>441</v>
      </c>
    </row>
    <row r="391" spans="1:2">
      <c r="A391" t="s">
        <v>207</v>
      </c>
      <c r="B391" s="6">
        <v>294</v>
      </c>
    </row>
    <row r="392" spans="1:2">
      <c r="A392" t="s">
        <v>207</v>
      </c>
      <c r="B392" s="6">
        <v>294</v>
      </c>
    </row>
    <row r="393" spans="1:2">
      <c r="A393" t="s">
        <v>207</v>
      </c>
      <c r="B393" s="6">
        <v>147</v>
      </c>
    </row>
    <row r="394" spans="1:2">
      <c r="A394" t="s">
        <v>207</v>
      </c>
      <c r="B394" s="6">
        <v>147</v>
      </c>
    </row>
    <row r="395" spans="1:2">
      <c r="A395" t="s">
        <v>207</v>
      </c>
      <c r="B395" s="6">
        <v>147</v>
      </c>
    </row>
    <row r="396" spans="1:2">
      <c r="A396" t="s">
        <v>207</v>
      </c>
      <c r="B396" s="6">
        <v>147</v>
      </c>
    </row>
    <row r="397" spans="1:2">
      <c r="A397" t="s">
        <v>85</v>
      </c>
      <c r="B397" s="6">
        <v>592</v>
      </c>
    </row>
    <row r="398" spans="1:2">
      <c r="A398" t="s">
        <v>85</v>
      </c>
      <c r="B398" s="6">
        <v>592</v>
      </c>
    </row>
    <row r="399" spans="1:2">
      <c r="A399" t="s">
        <v>85</v>
      </c>
      <c r="B399" s="6">
        <v>592</v>
      </c>
    </row>
    <row r="400" spans="1:2">
      <c r="A400" t="s">
        <v>85</v>
      </c>
      <c r="B400" s="6">
        <v>592</v>
      </c>
    </row>
    <row r="401" spans="1:2">
      <c r="A401" t="s">
        <v>85</v>
      </c>
      <c r="B401" s="6">
        <v>444</v>
      </c>
    </row>
    <row r="402" spans="1:2">
      <c r="A402" t="s">
        <v>85</v>
      </c>
      <c r="B402" s="6">
        <v>444</v>
      </c>
    </row>
    <row r="403" spans="1:2">
      <c r="A403" t="s">
        <v>85</v>
      </c>
      <c r="B403" s="6">
        <v>444</v>
      </c>
    </row>
    <row r="404" spans="1:2">
      <c r="A404" t="s">
        <v>85</v>
      </c>
      <c r="B404" s="6">
        <v>296</v>
      </c>
    </row>
    <row r="405" spans="1:2">
      <c r="A405" t="s">
        <v>85</v>
      </c>
      <c r="B405" s="6">
        <v>296</v>
      </c>
    </row>
    <row r="406" spans="1:2">
      <c r="A406" t="s">
        <v>85</v>
      </c>
      <c r="B406" s="6">
        <v>296</v>
      </c>
    </row>
    <row r="407" spans="1:2">
      <c r="A407" t="s">
        <v>85</v>
      </c>
      <c r="B407" s="6">
        <v>296</v>
      </c>
    </row>
    <row r="408" spans="1:2">
      <c r="A408" t="s">
        <v>85</v>
      </c>
      <c r="B408" s="6">
        <v>296</v>
      </c>
    </row>
    <row r="409" spans="1:2">
      <c r="A409" t="s">
        <v>85</v>
      </c>
      <c r="B409" s="6">
        <v>148</v>
      </c>
    </row>
    <row r="410" spans="1:2">
      <c r="A410" t="s">
        <v>85</v>
      </c>
      <c r="B410" s="6">
        <v>148</v>
      </c>
    </row>
    <row r="411" spans="1:2">
      <c r="A411" t="s">
        <v>85</v>
      </c>
      <c r="B411" s="6">
        <v>148</v>
      </c>
    </row>
    <row r="412" spans="1:2">
      <c r="A412" t="s">
        <v>85</v>
      </c>
      <c r="B412" s="6">
        <v>148</v>
      </c>
    </row>
    <row r="413" spans="1:2">
      <c r="A413" t="s">
        <v>85</v>
      </c>
      <c r="B413" s="6">
        <v>148</v>
      </c>
    </row>
    <row r="414" spans="1:2">
      <c r="A414" t="s">
        <v>85</v>
      </c>
      <c r="B414" s="6">
        <v>148</v>
      </c>
    </row>
    <row r="415" spans="1:2">
      <c r="A415" t="s">
        <v>85</v>
      </c>
      <c r="B415" s="6">
        <v>148</v>
      </c>
    </row>
    <row r="416" spans="1:2">
      <c r="A416" t="s">
        <v>85</v>
      </c>
      <c r="B416" s="6">
        <v>148</v>
      </c>
    </row>
    <row r="417" spans="1:2">
      <c r="A417" t="s">
        <v>85</v>
      </c>
      <c r="B417" s="6">
        <v>148</v>
      </c>
    </row>
    <row r="418" spans="1:2">
      <c r="A418" t="s">
        <v>334</v>
      </c>
      <c r="B418" s="6">
        <v>372</v>
      </c>
    </row>
    <row r="419" spans="1:2">
      <c r="A419" t="s">
        <v>334</v>
      </c>
      <c r="B419" s="6">
        <v>372</v>
      </c>
    </row>
    <row r="420" spans="1:2">
      <c r="A420" t="s">
        <v>334</v>
      </c>
      <c r="B420" s="6">
        <v>186</v>
      </c>
    </row>
    <row r="421" spans="1:2">
      <c r="A421" t="s">
        <v>334</v>
      </c>
      <c r="B421" s="6">
        <v>186</v>
      </c>
    </row>
    <row r="422" spans="1:2">
      <c r="A422" t="s">
        <v>87</v>
      </c>
      <c r="B422" s="6">
        <v>1076</v>
      </c>
    </row>
    <row r="423" spans="1:2">
      <c r="A423" t="s">
        <v>87</v>
      </c>
      <c r="B423" s="6">
        <v>1076</v>
      </c>
    </row>
    <row r="424" spans="1:2">
      <c r="A424" t="s">
        <v>87</v>
      </c>
      <c r="B424" s="6">
        <v>1076</v>
      </c>
    </row>
    <row r="425" spans="1:2">
      <c r="A425" t="s">
        <v>87</v>
      </c>
      <c r="B425" s="6">
        <v>807</v>
      </c>
    </row>
    <row r="426" spans="1:2">
      <c r="A426" t="s">
        <v>87</v>
      </c>
      <c r="B426" s="6">
        <v>807</v>
      </c>
    </row>
    <row r="427" spans="1:2">
      <c r="A427" t="s">
        <v>87</v>
      </c>
      <c r="B427" s="6">
        <v>807</v>
      </c>
    </row>
    <row r="428" spans="1:2">
      <c r="A428" t="s">
        <v>87</v>
      </c>
      <c r="B428" s="6">
        <v>807</v>
      </c>
    </row>
    <row r="429" spans="1:2">
      <c r="A429" t="s">
        <v>87</v>
      </c>
      <c r="B429" s="6">
        <v>807</v>
      </c>
    </row>
    <row r="430" spans="1:2">
      <c r="A430" t="s">
        <v>87</v>
      </c>
      <c r="B430" s="6">
        <v>269</v>
      </c>
    </row>
    <row r="431" spans="1:2">
      <c r="A431" t="s">
        <v>87</v>
      </c>
      <c r="B431" s="6">
        <v>269</v>
      </c>
    </row>
    <row r="432" spans="1:2">
      <c r="A432" t="s">
        <v>87</v>
      </c>
      <c r="B432" s="6">
        <v>269</v>
      </c>
    </row>
    <row r="433" spans="1:2">
      <c r="A433" t="s">
        <v>156</v>
      </c>
      <c r="B433" s="6">
        <v>672</v>
      </c>
    </row>
    <row r="434" spans="1:2">
      <c r="A434" t="s">
        <v>156</v>
      </c>
      <c r="B434" s="6">
        <v>672</v>
      </c>
    </row>
    <row r="435" spans="1:2">
      <c r="A435" t="s">
        <v>156</v>
      </c>
      <c r="B435" s="6">
        <v>672</v>
      </c>
    </row>
    <row r="436" spans="1:2">
      <c r="A436" t="s">
        <v>156</v>
      </c>
      <c r="B436" s="6">
        <v>504</v>
      </c>
    </row>
    <row r="437" spans="1:2">
      <c r="A437" t="s">
        <v>156</v>
      </c>
      <c r="B437" s="6">
        <v>504</v>
      </c>
    </row>
    <row r="438" spans="1:2">
      <c r="A438" t="s">
        <v>156</v>
      </c>
      <c r="B438" s="6">
        <v>336</v>
      </c>
    </row>
    <row r="439" spans="1:2">
      <c r="A439" t="s">
        <v>156</v>
      </c>
      <c r="B439" s="6">
        <v>336</v>
      </c>
    </row>
    <row r="440" spans="1:2">
      <c r="A440" t="s">
        <v>156</v>
      </c>
      <c r="B440" s="6">
        <v>336</v>
      </c>
    </row>
    <row r="441" spans="1:2">
      <c r="A441" t="s">
        <v>156</v>
      </c>
      <c r="B441" s="6">
        <v>336</v>
      </c>
    </row>
    <row r="442" spans="1:2">
      <c r="A442" t="s">
        <v>156</v>
      </c>
      <c r="B442" s="6">
        <v>168</v>
      </c>
    </row>
    <row r="443" spans="1:2">
      <c r="A443" t="s">
        <v>156</v>
      </c>
      <c r="B443" s="6">
        <v>168</v>
      </c>
    </row>
    <row r="444" spans="1:2">
      <c r="A444" t="s">
        <v>156</v>
      </c>
      <c r="B444" s="6">
        <v>168</v>
      </c>
    </row>
    <row r="445" spans="1:2">
      <c r="A445" t="s">
        <v>281</v>
      </c>
      <c r="B445" s="6">
        <v>468</v>
      </c>
    </row>
    <row r="446" spans="1:2">
      <c r="A446" t="s">
        <v>281</v>
      </c>
      <c r="B446" s="6">
        <v>351</v>
      </c>
    </row>
    <row r="447" spans="1:2">
      <c r="A447" t="s">
        <v>281</v>
      </c>
      <c r="B447" s="6">
        <v>351</v>
      </c>
    </row>
    <row r="448" spans="1:2">
      <c r="A448" t="s">
        <v>281</v>
      </c>
      <c r="B448" s="6">
        <v>351</v>
      </c>
    </row>
    <row r="449" spans="1:2">
      <c r="A449" t="s">
        <v>281</v>
      </c>
      <c r="B449" s="6">
        <v>234</v>
      </c>
    </row>
    <row r="450" spans="1:2">
      <c r="A450" t="s">
        <v>281</v>
      </c>
      <c r="B450" s="6">
        <v>234</v>
      </c>
    </row>
    <row r="451" spans="1:2">
      <c r="A451" t="s">
        <v>281</v>
      </c>
      <c r="B451" s="6">
        <v>234</v>
      </c>
    </row>
    <row r="452" spans="1:2">
      <c r="A452" t="s">
        <v>281</v>
      </c>
      <c r="B452" s="6">
        <v>117</v>
      </c>
    </row>
    <row r="453" spans="1:2">
      <c r="A453" t="s">
        <v>281</v>
      </c>
      <c r="B453" s="6">
        <v>117</v>
      </c>
    </row>
    <row r="454" spans="1:2">
      <c r="A454" t="s">
        <v>97</v>
      </c>
      <c r="B454" s="6">
        <v>916</v>
      </c>
    </row>
    <row r="455" spans="1:2">
      <c r="A455" t="s">
        <v>97</v>
      </c>
      <c r="B455" s="6">
        <v>687</v>
      </c>
    </row>
    <row r="456" spans="1:2">
      <c r="A456" t="s">
        <v>97</v>
      </c>
      <c r="B456" s="6">
        <v>687</v>
      </c>
    </row>
    <row r="457" spans="1:2">
      <c r="A457" t="s">
        <v>97</v>
      </c>
      <c r="B457" s="6">
        <v>687</v>
      </c>
    </row>
    <row r="458" spans="1:2">
      <c r="A458" t="s">
        <v>97</v>
      </c>
      <c r="B458" s="6">
        <v>458</v>
      </c>
    </row>
    <row r="459" spans="1:2">
      <c r="A459" t="s">
        <v>97</v>
      </c>
      <c r="B459" s="6">
        <v>458</v>
      </c>
    </row>
    <row r="460" spans="1:2">
      <c r="A460" t="s">
        <v>97</v>
      </c>
      <c r="B460" s="6">
        <v>458</v>
      </c>
    </row>
    <row r="461" spans="1:2">
      <c r="A461" t="s">
        <v>97</v>
      </c>
      <c r="B461" s="6">
        <v>229</v>
      </c>
    </row>
    <row r="462" spans="1:2">
      <c r="A462" t="s">
        <v>325</v>
      </c>
      <c r="B462" s="6">
        <v>272</v>
      </c>
    </row>
    <row r="463" spans="1:2">
      <c r="A463" t="s">
        <v>325</v>
      </c>
      <c r="B463" s="6">
        <v>272</v>
      </c>
    </row>
    <row r="464" spans="1:2">
      <c r="A464" t="s">
        <v>325</v>
      </c>
      <c r="B464" s="6">
        <v>272</v>
      </c>
    </row>
    <row r="465" spans="1:2">
      <c r="A465" t="s">
        <v>325</v>
      </c>
      <c r="B465" s="6">
        <v>204</v>
      </c>
    </row>
    <row r="466" spans="1:2">
      <c r="A466" t="s">
        <v>325</v>
      </c>
      <c r="B466" s="6">
        <v>136</v>
      </c>
    </row>
    <row r="467" spans="1:2">
      <c r="A467" t="s">
        <v>325</v>
      </c>
      <c r="B467" s="6">
        <v>136</v>
      </c>
    </row>
    <row r="468" spans="1:2">
      <c r="A468" t="s">
        <v>325</v>
      </c>
      <c r="B468" s="6">
        <v>68</v>
      </c>
    </row>
    <row r="469" spans="1:2">
      <c r="A469" t="s">
        <v>145</v>
      </c>
      <c r="B469" s="6">
        <v>741</v>
      </c>
    </row>
    <row r="470" spans="1:2">
      <c r="A470" t="s">
        <v>145</v>
      </c>
      <c r="B470" s="6">
        <v>741</v>
      </c>
    </row>
    <row r="471" spans="1:2">
      <c r="A471" t="s">
        <v>145</v>
      </c>
      <c r="B471" s="6">
        <v>741</v>
      </c>
    </row>
    <row r="472" spans="1:2">
      <c r="A472" t="s">
        <v>145</v>
      </c>
      <c r="B472" s="6">
        <v>741</v>
      </c>
    </row>
    <row r="473" spans="1:2">
      <c r="A473" t="s">
        <v>145</v>
      </c>
      <c r="B473" s="6">
        <v>741</v>
      </c>
    </row>
    <row r="474" spans="1:2">
      <c r="A474" t="s">
        <v>145</v>
      </c>
      <c r="B474" s="6">
        <v>494</v>
      </c>
    </row>
    <row r="475" spans="1:2">
      <c r="A475" t="s">
        <v>145</v>
      </c>
      <c r="B475" s="6">
        <v>494</v>
      </c>
    </row>
    <row r="476" spans="1:2">
      <c r="A476" t="s">
        <v>145</v>
      </c>
      <c r="B476" s="6">
        <v>247</v>
      </c>
    </row>
    <row r="477" spans="1:2">
      <c r="A477" t="s">
        <v>145</v>
      </c>
      <c r="B477" s="6">
        <v>247</v>
      </c>
    </row>
    <row r="478" spans="1:2">
      <c r="A478" t="s">
        <v>145</v>
      </c>
      <c r="B478" s="6">
        <v>247</v>
      </c>
    </row>
    <row r="479" spans="1:2">
      <c r="A479" t="s">
        <v>28</v>
      </c>
      <c r="B479" s="6">
        <v>640</v>
      </c>
    </row>
    <row r="480" spans="1:2">
      <c r="A480" t="s">
        <v>28</v>
      </c>
      <c r="B480" s="6">
        <v>640</v>
      </c>
    </row>
    <row r="481" spans="1:2">
      <c r="A481" t="s">
        <v>28</v>
      </c>
      <c r="B481" s="6">
        <v>640</v>
      </c>
    </row>
    <row r="482" spans="1:2">
      <c r="A482" t="s">
        <v>28</v>
      </c>
      <c r="B482" s="6">
        <v>480</v>
      </c>
    </row>
    <row r="483" spans="1:2">
      <c r="A483" t="s">
        <v>28</v>
      </c>
      <c r="B483" s="6">
        <v>480</v>
      </c>
    </row>
    <row r="484" spans="1:2">
      <c r="A484" t="s">
        <v>28</v>
      </c>
      <c r="B484" s="6">
        <v>480</v>
      </c>
    </row>
    <row r="485" spans="1:2">
      <c r="A485" t="s">
        <v>28</v>
      </c>
      <c r="B485" s="6">
        <v>160</v>
      </c>
    </row>
    <row r="486" spans="1:2">
      <c r="A486" t="s">
        <v>28</v>
      </c>
      <c r="B486" s="6">
        <v>160</v>
      </c>
    </row>
    <row r="487" spans="1:2">
      <c r="A487" t="s">
        <v>28</v>
      </c>
      <c r="B487" s="6">
        <v>160</v>
      </c>
    </row>
    <row r="488" spans="1:2">
      <c r="A488" t="s">
        <v>28</v>
      </c>
      <c r="B488" s="6">
        <v>160</v>
      </c>
    </row>
    <row r="489" spans="1:2">
      <c r="A489" t="s">
        <v>75</v>
      </c>
      <c r="B489" s="6">
        <v>280</v>
      </c>
    </row>
    <row r="490" spans="1:2">
      <c r="A490" t="s">
        <v>75</v>
      </c>
      <c r="B490" s="6">
        <v>280</v>
      </c>
    </row>
    <row r="491" spans="1:2">
      <c r="A491" t="s">
        <v>75</v>
      </c>
      <c r="B491" s="6">
        <v>280</v>
      </c>
    </row>
    <row r="492" spans="1:2">
      <c r="A492" t="s">
        <v>75</v>
      </c>
      <c r="B492" s="6">
        <v>140</v>
      </c>
    </row>
    <row r="493" spans="1:2">
      <c r="A493" t="s">
        <v>75</v>
      </c>
      <c r="B493" s="6">
        <v>140</v>
      </c>
    </row>
    <row r="494" spans="1:2">
      <c r="A494" t="s">
        <v>75</v>
      </c>
      <c r="B494" s="6">
        <v>140</v>
      </c>
    </row>
    <row r="495" spans="1:2">
      <c r="A495" t="s">
        <v>75</v>
      </c>
      <c r="B495" s="6">
        <v>140</v>
      </c>
    </row>
    <row r="496" spans="1:2">
      <c r="A496" t="s">
        <v>75</v>
      </c>
      <c r="B496" s="6">
        <v>70</v>
      </c>
    </row>
    <row r="497" spans="1:2">
      <c r="A497" t="s">
        <v>75</v>
      </c>
      <c r="B497" s="6">
        <v>70</v>
      </c>
    </row>
    <row r="498" spans="1:2">
      <c r="A498" t="s">
        <v>75</v>
      </c>
      <c r="B498" s="6">
        <v>70</v>
      </c>
    </row>
    <row r="499" spans="1:2">
      <c r="A499" t="s">
        <v>75</v>
      </c>
      <c r="B499" s="6">
        <v>70</v>
      </c>
    </row>
    <row r="500" spans="1:2">
      <c r="A500" t="s">
        <v>75</v>
      </c>
      <c r="B500" s="6">
        <v>70</v>
      </c>
    </row>
    <row r="501" spans="1:2">
      <c r="A501" t="s">
        <v>139</v>
      </c>
      <c r="B501" s="6">
        <v>1120</v>
      </c>
    </row>
    <row r="502" spans="1:2">
      <c r="A502" t="s">
        <v>139</v>
      </c>
      <c r="B502" s="6">
        <v>1120</v>
      </c>
    </row>
    <row r="503" spans="1:2">
      <c r="A503" t="s">
        <v>139</v>
      </c>
      <c r="B503" s="6">
        <v>1120</v>
      </c>
    </row>
    <row r="504" spans="1:2">
      <c r="A504" t="s">
        <v>139</v>
      </c>
      <c r="B504" s="6">
        <v>840</v>
      </c>
    </row>
    <row r="505" spans="1:2">
      <c r="A505" t="s">
        <v>139</v>
      </c>
      <c r="B505" s="6">
        <v>840</v>
      </c>
    </row>
    <row r="506" spans="1:2">
      <c r="A506" t="s">
        <v>139</v>
      </c>
      <c r="B506" s="6">
        <v>840</v>
      </c>
    </row>
    <row r="507" spans="1:2">
      <c r="A507" t="s">
        <v>139</v>
      </c>
      <c r="B507" s="6">
        <v>560</v>
      </c>
    </row>
    <row r="508" spans="1:2">
      <c r="A508" t="s">
        <v>139</v>
      </c>
      <c r="B508" s="6">
        <v>560</v>
      </c>
    </row>
    <row r="509" spans="1:2">
      <c r="A509" t="s">
        <v>139</v>
      </c>
      <c r="B509" s="6">
        <v>280</v>
      </c>
    </row>
    <row r="510" spans="1:2">
      <c r="A510" t="s">
        <v>139</v>
      </c>
      <c r="B510" s="6">
        <v>280</v>
      </c>
    </row>
    <row r="511" spans="1:2">
      <c r="A511" t="s">
        <v>139</v>
      </c>
      <c r="B511" s="6">
        <v>280</v>
      </c>
    </row>
    <row r="512" spans="1:2">
      <c r="A512" t="s">
        <v>139</v>
      </c>
      <c r="B512" s="6">
        <v>280</v>
      </c>
    </row>
    <row r="513" spans="1:2">
      <c r="A513" t="s">
        <v>93</v>
      </c>
      <c r="B513" s="6">
        <v>888</v>
      </c>
    </row>
    <row r="514" spans="1:2">
      <c r="A514" t="s">
        <v>93</v>
      </c>
      <c r="B514" s="6">
        <v>888</v>
      </c>
    </row>
    <row r="515" spans="1:2">
      <c r="A515" t="s">
        <v>93</v>
      </c>
      <c r="B515" s="6">
        <v>666</v>
      </c>
    </row>
    <row r="516" spans="1:2">
      <c r="A516" t="s">
        <v>93</v>
      </c>
      <c r="B516" s="6">
        <v>666</v>
      </c>
    </row>
    <row r="517" spans="1:2">
      <c r="A517" t="s">
        <v>93</v>
      </c>
      <c r="B517" s="6">
        <v>666</v>
      </c>
    </row>
    <row r="518" spans="1:2">
      <c r="A518" t="s">
        <v>93</v>
      </c>
      <c r="B518" s="6">
        <v>666</v>
      </c>
    </row>
    <row r="519" spans="1:2">
      <c r="A519" t="s">
        <v>93</v>
      </c>
      <c r="B519" s="6">
        <v>666</v>
      </c>
    </row>
    <row r="520" spans="1:2">
      <c r="A520" t="s">
        <v>93</v>
      </c>
      <c r="B520" s="6">
        <v>666</v>
      </c>
    </row>
    <row r="521" spans="1:2">
      <c r="A521" t="s">
        <v>93</v>
      </c>
      <c r="B521" s="6">
        <v>444</v>
      </c>
    </row>
    <row r="522" spans="1:2">
      <c r="A522" t="s">
        <v>93</v>
      </c>
      <c r="B522" s="6">
        <v>444</v>
      </c>
    </row>
    <row r="523" spans="1:2">
      <c r="A523" t="s">
        <v>93</v>
      </c>
      <c r="B523" s="6">
        <v>222</v>
      </c>
    </row>
    <row r="524" spans="1:2">
      <c r="A524" t="s">
        <v>269</v>
      </c>
      <c r="B524" s="6">
        <v>512</v>
      </c>
    </row>
    <row r="525" spans="1:2">
      <c r="A525" t="s">
        <v>269</v>
      </c>
      <c r="B525" s="6">
        <v>512</v>
      </c>
    </row>
    <row r="526" spans="1:2">
      <c r="A526" t="s">
        <v>269</v>
      </c>
      <c r="B526" s="6">
        <v>384</v>
      </c>
    </row>
    <row r="527" spans="1:2">
      <c r="A527" t="s">
        <v>269</v>
      </c>
      <c r="B527" s="6">
        <v>384</v>
      </c>
    </row>
    <row r="528" spans="1:2">
      <c r="A528" t="s">
        <v>269</v>
      </c>
      <c r="B528" s="6">
        <v>256</v>
      </c>
    </row>
    <row r="529" spans="1:2">
      <c r="A529" t="s">
        <v>269</v>
      </c>
      <c r="B529" s="6">
        <v>128</v>
      </c>
    </row>
    <row r="530" spans="1:2">
      <c r="A530" t="s">
        <v>158</v>
      </c>
      <c r="B530" s="6">
        <v>1124</v>
      </c>
    </row>
    <row r="531" spans="1:2">
      <c r="A531" t="s">
        <v>158</v>
      </c>
      <c r="B531" s="6">
        <v>1124</v>
      </c>
    </row>
    <row r="532" spans="1:2">
      <c r="A532" t="s">
        <v>158</v>
      </c>
      <c r="B532" s="6">
        <v>562</v>
      </c>
    </row>
    <row r="533" spans="1:2">
      <c r="A533" t="s">
        <v>158</v>
      </c>
      <c r="B533" s="6">
        <v>281</v>
      </c>
    </row>
    <row r="534" spans="1:2">
      <c r="A534" t="s">
        <v>158</v>
      </c>
      <c r="B534" s="6">
        <v>281</v>
      </c>
    </row>
    <row r="535" spans="1:2">
      <c r="A535" t="s">
        <v>138</v>
      </c>
      <c r="B535" s="6">
        <v>744</v>
      </c>
    </row>
    <row r="536" spans="1:2">
      <c r="A536" t="s">
        <v>138</v>
      </c>
      <c r="B536" s="6">
        <v>744</v>
      </c>
    </row>
    <row r="537" spans="1:2">
      <c r="A537" t="s">
        <v>138</v>
      </c>
      <c r="B537" s="6">
        <v>744</v>
      </c>
    </row>
    <row r="538" spans="1:2">
      <c r="A538" t="s">
        <v>138</v>
      </c>
      <c r="B538" s="6">
        <v>744</v>
      </c>
    </row>
    <row r="539" spans="1:2">
      <c r="A539" t="s">
        <v>138</v>
      </c>
      <c r="B539" s="6">
        <v>744</v>
      </c>
    </row>
    <row r="540" spans="1:2">
      <c r="A540" t="s">
        <v>138</v>
      </c>
      <c r="B540" s="6">
        <v>744</v>
      </c>
    </row>
    <row r="541" spans="1:2">
      <c r="A541" t="s">
        <v>138</v>
      </c>
      <c r="B541" s="6">
        <v>558</v>
      </c>
    </row>
    <row r="542" spans="1:2">
      <c r="A542" t="s">
        <v>138</v>
      </c>
      <c r="B542" s="6">
        <v>558</v>
      </c>
    </row>
    <row r="543" spans="1:2">
      <c r="A543" t="s">
        <v>138</v>
      </c>
      <c r="B543" s="6">
        <v>558</v>
      </c>
    </row>
    <row r="544" spans="1:2">
      <c r="A544" t="s">
        <v>138</v>
      </c>
      <c r="B544" s="6">
        <v>372</v>
      </c>
    </row>
    <row r="545" spans="1:2">
      <c r="A545" t="s">
        <v>138</v>
      </c>
      <c r="B545" s="6">
        <v>372</v>
      </c>
    </row>
    <row r="546" spans="1:2">
      <c r="A546" t="s">
        <v>138</v>
      </c>
      <c r="B546" s="6">
        <v>372</v>
      </c>
    </row>
    <row r="547" spans="1:2">
      <c r="A547" t="s">
        <v>138</v>
      </c>
      <c r="B547" s="6">
        <v>372</v>
      </c>
    </row>
    <row r="548" spans="1:2">
      <c r="A548" t="s">
        <v>138</v>
      </c>
      <c r="B548" s="6">
        <v>186</v>
      </c>
    </row>
    <row r="549" spans="1:2">
      <c r="A549" t="s">
        <v>138</v>
      </c>
      <c r="B549" s="6">
        <v>186</v>
      </c>
    </row>
    <row r="550" spans="1:2">
      <c r="A550" t="s">
        <v>123</v>
      </c>
      <c r="B550" s="6">
        <v>616</v>
      </c>
    </row>
    <row r="551" spans="1:2">
      <c r="A551" t="s">
        <v>123</v>
      </c>
      <c r="B551" s="6">
        <v>462</v>
      </c>
    </row>
    <row r="552" spans="1:2">
      <c r="A552" t="s">
        <v>123</v>
      </c>
      <c r="B552" s="6">
        <v>308</v>
      </c>
    </row>
    <row r="553" spans="1:2">
      <c r="A553" t="s">
        <v>123</v>
      </c>
      <c r="B553" s="6">
        <v>308</v>
      </c>
    </row>
    <row r="554" spans="1:2">
      <c r="A554" t="s">
        <v>123</v>
      </c>
      <c r="B554" s="6">
        <v>154</v>
      </c>
    </row>
    <row r="555" spans="1:2">
      <c r="A555" t="s">
        <v>123</v>
      </c>
      <c r="B555" s="6">
        <v>154</v>
      </c>
    </row>
    <row r="556" spans="1:2">
      <c r="A556" t="s">
        <v>129</v>
      </c>
      <c r="B556" s="6">
        <v>684</v>
      </c>
    </row>
    <row r="557" spans="1:2">
      <c r="A557" t="s">
        <v>129</v>
      </c>
      <c r="B557" s="6">
        <v>684</v>
      </c>
    </row>
    <row r="558" spans="1:2">
      <c r="A558" t="s">
        <v>129</v>
      </c>
      <c r="B558" s="6">
        <v>684</v>
      </c>
    </row>
    <row r="559" spans="1:2">
      <c r="A559" t="s">
        <v>129</v>
      </c>
      <c r="B559" s="6">
        <v>513</v>
      </c>
    </row>
    <row r="560" spans="1:2">
      <c r="A560" t="s">
        <v>129</v>
      </c>
      <c r="B560" s="6">
        <v>513</v>
      </c>
    </row>
    <row r="561" spans="1:2">
      <c r="A561" t="s">
        <v>129</v>
      </c>
      <c r="B561" s="6">
        <v>342</v>
      </c>
    </row>
    <row r="562" spans="1:2">
      <c r="A562" t="s">
        <v>129</v>
      </c>
      <c r="B562" s="6">
        <v>342</v>
      </c>
    </row>
    <row r="563" spans="1:2">
      <c r="A563" t="s">
        <v>129</v>
      </c>
      <c r="B563" s="6">
        <v>342</v>
      </c>
    </row>
    <row r="564" spans="1:2">
      <c r="A564" t="s">
        <v>129</v>
      </c>
      <c r="B564" s="6">
        <v>171</v>
      </c>
    </row>
    <row r="565" spans="1:2">
      <c r="A565" t="s">
        <v>129</v>
      </c>
      <c r="B565" s="6">
        <v>171</v>
      </c>
    </row>
    <row r="566" spans="1:2">
      <c r="A566" t="s">
        <v>129</v>
      </c>
      <c r="B566" s="6">
        <v>171</v>
      </c>
    </row>
    <row r="567" spans="1:2">
      <c r="A567" t="s">
        <v>129</v>
      </c>
      <c r="B567" s="6">
        <v>171</v>
      </c>
    </row>
    <row r="568" spans="1:2">
      <c r="A568" t="s">
        <v>197</v>
      </c>
      <c r="B568" s="6">
        <v>944</v>
      </c>
    </row>
    <row r="569" spans="1:2">
      <c r="A569" t="s">
        <v>197</v>
      </c>
      <c r="B569" s="6">
        <v>944</v>
      </c>
    </row>
    <row r="570" spans="1:2">
      <c r="A570" t="s">
        <v>197</v>
      </c>
      <c r="B570" s="6">
        <v>708</v>
      </c>
    </row>
    <row r="571" spans="1:2">
      <c r="A571" t="s">
        <v>197</v>
      </c>
      <c r="B571" s="6">
        <v>708</v>
      </c>
    </row>
    <row r="572" spans="1:2">
      <c r="A572" t="s">
        <v>197</v>
      </c>
      <c r="B572" s="6">
        <v>472</v>
      </c>
    </row>
    <row r="573" spans="1:2">
      <c r="A573" t="s">
        <v>197</v>
      </c>
      <c r="B573" s="6">
        <v>236</v>
      </c>
    </row>
    <row r="574" spans="1:2">
      <c r="A574" t="s">
        <v>197</v>
      </c>
      <c r="B574" s="6">
        <v>236</v>
      </c>
    </row>
    <row r="575" spans="1:2">
      <c r="A575" t="s">
        <v>152</v>
      </c>
      <c r="B575" s="6">
        <v>1088</v>
      </c>
    </row>
    <row r="576" spans="1:2">
      <c r="A576" t="s">
        <v>152</v>
      </c>
      <c r="B576" s="6">
        <v>1088</v>
      </c>
    </row>
    <row r="577" spans="1:2">
      <c r="A577" t="s">
        <v>152</v>
      </c>
      <c r="B577" s="6">
        <v>1088</v>
      </c>
    </row>
    <row r="578" spans="1:2">
      <c r="A578" t="s">
        <v>152</v>
      </c>
      <c r="B578" s="6">
        <v>544</v>
      </c>
    </row>
    <row r="579" spans="1:2">
      <c r="A579" t="s">
        <v>152</v>
      </c>
      <c r="B579" s="6">
        <v>544</v>
      </c>
    </row>
    <row r="580" spans="1:2">
      <c r="A580" t="s">
        <v>152</v>
      </c>
      <c r="B580" s="6">
        <v>544</v>
      </c>
    </row>
    <row r="581" spans="1:2">
      <c r="A581" t="s">
        <v>152</v>
      </c>
      <c r="B581" s="6">
        <v>544</v>
      </c>
    </row>
    <row r="582" spans="1:2">
      <c r="A582" t="s">
        <v>152</v>
      </c>
      <c r="B582" s="6">
        <v>544</v>
      </c>
    </row>
    <row r="583" spans="1:2">
      <c r="A583" t="s">
        <v>152</v>
      </c>
      <c r="B583" s="6">
        <v>544</v>
      </c>
    </row>
    <row r="584" spans="1:2">
      <c r="A584" t="s">
        <v>152</v>
      </c>
      <c r="B584" s="6">
        <v>272</v>
      </c>
    </row>
    <row r="585" spans="1:2">
      <c r="A585" t="s">
        <v>152</v>
      </c>
      <c r="B585" s="6">
        <v>272</v>
      </c>
    </row>
    <row r="586" spans="1:2">
      <c r="A586" t="s">
        <v>152</v>
      </c>
      <c r="B586" s="6">
        <v>272</v>
      </c>
    </row>
    <row r="587" spans="1:2">
      <c r="A587" t="s">
        <v>34</v>
      </c>
      <c r="B587" s="6">
        <v>748</v>
      </c>
    </row>
    <row r="588" spans="1:2">
      <c r="A588" t="s">
        <v>34</v>
      </c>
      <c r="B588" s="6">
        <v>748</v>
      </c>
    </row>
    <row r="589" spans="1:2">
      <c r="A589" t="s">
        <v>34</v>
      </c>
      <c r="B589" s="6">
        <v>561</v>
      </c>
    </row>
    <row r="590" spans="1:2">
      <c r="A590" t="s">
        <v>34</v>
      </c>
      <c r="B590" s="6">
        <v>374</v>
      </c>
    </row>
    <row r="591" spans="1:2">
      <c r="A591" t="s">
        <v>34</v>
      </c>
      <c r="B591" s="6">
        <v>374</v>
      </c>
    </row>
    <row r="592" spans="1:2">
      <c r="A592" t="s">
        <v>34</v>
      </c>
      <c r="B592" s="6">
        <v>374</v>
      </c>
    </row>
    <row r="593" spans="1:2">
      <c r="A593" t="s">
        <v>34</v>
      </c>
      <c r="B593" s="6">
        <v>374</v>
      </c>
    </row>
    <row r="594" spans="1:2">
      <c r="A594" t="s">
        <v>34</v>
      </c>
      <c r="B594" s="6">
        <v>374</v>
      </c>
    </row>
    <row r="595" spans="1:2">
      <c r="A595" t="s">
        <v>34</v>
      </c>
      <c r="B595" s="6">
        <v>374</v>
      </c>
    </row>
    <row r="596" spans="1:2">
      <c r="A596" t="s">
        <v>34</v>
      </c>
      <c r="B596" s="6">
        <v>374</v>
      </c>
    </row>
    <row r="597" spans="1:2">
      <c r="A597" t="s">
        <v>34</v>
      </c>
      <c r="B597" s="6">
        <v>187</v>
      </c>
    </row>
    <row r="598" spans="1:2">
      <c r="A598" t="s">
        <v>34</v>
      </c>
      <c r="B598" s="6">
        <v>187</v>
      </c>
    </row>
    <row r="599" spans="1:2">
      <c r="A599" t="s">
        <v>34</v>
      </c>
      <c r="B599" s="6">
        <v>187</v>
      </c>
    </row>
    <row r="600" spans="1:2">
      <c r="A600" t="s">
        <v>170</v>
      </c>
      <c r="B600" s="6">
        <v>1056</v>
      </c>
    </row>
    <row r="601" spans="1:2">
      <c r="A601" t="s">
        <v>170</v>
      </c>
      <c r="B601" s="6">
        <v>1056</v>
      </c>
    </row>
    <row r="602" spans="1:2">
      <c r="A602" t="s">
        <v>170</v>
      </c>
      <c r="B602" s="6">
        <v>792</v>
      </c>
    </row>
    <row r="603" spans="1:2">
      <c r="A603" t="s">
        <v>170</v>
      </c>
      <c r="B603" s="6">
        <v>792</v>
      </c>
    </row>
    <row r="604" spans="1:2">
      <c r="A604" t="s">
        <v>170</v>
      </c>
      <c r="B604" s="6">
        <v>528</v>
      </c>
    </row>
    <row r="605" spans="1:2">
      <c r="A605" t="s">
        <v>170</v>
      </c>
      <c r="B605" s="6">
        <v>264</v>
      </c>
    </row>
    <row r="606" spans="1:2">
      <c r="A606" t="s">
        <v>170</v>
      </c>
      <c r="B606" s="6">
        <v>264</v>
      </c>
    </row>
    <row r="607" spans="1:2">
      <c r="A607" t="s">
        <v>170</v>
      </c>
      <c r="B607" s="6">
        <v>264</v>
      </c>
    </row>
    <row r="608" spans="1:2">
      <c r="A608" t="s">
        <v>170</v>
      </c>
      <c r="B608" s="6">
        <v>264</v>
      </c>
    </row>
    <row r="609" spans="1:2">
      <c r="A609" t="s">
        <v>170</v>
      </c>
      <c r="B609" s="6">
        <v>264</v>
      </c>
    </row>
    <row r="610" spans="1:2">
      <c r="A610" t="s">
        <v>170</v>
      </c>
      <c r="B610" s="6">
        <v>264</v>
      </c>
    </row>
    <row r="611" spans="1:2">
      <c r="A611" t="s">
        <v>206</v>
      </c>
      <c r="B611" s="6">
        <v>200</v>
      </c>
    </row>
    <row r="612" spans="1:2">
      <c r="A612" t="s">
        <v>206</v>
      </c>
      <c r="B612" s="6">
        <v>150</v>
      </c>
    </row>
    <row r="613" spans="1:2">
      <c r="A613" t="s">
        <v>206</v>
      </c>
      <c r="B613" s="6">
        <v>150</v>
      </c>
    </row>
    <row r="614" spans="1:2">
      <c r="A614" t="s">
        <v>206</v>
      </c>
      <c r="B614" s="6">
        <v>100</v>
      </c>
    </row>
    <row r="615" spans="1:2">
      <c r="A615" t="s">
        <v>206</v>
      </c>
      <c r="B615" s="6">
        <v>100</v>
      </c>
    </row>
    <row r="616" spans="1:2">
      <c r="A616" t="s">
        <v>206</v>
      </c>
      <c r="B616" s="6">
        <v>100</v>
      </c>
    </row>
    <row r="617" spans="1:2">
      <c r="A617" t="s">
        <v>206</v>
      </c>
      <c r="B617" s="6">
        <v>50</v>
      </c>
    </row>
    <row r="618" spans="1:2">
      <c r="A618" t="s">
        <v>112</v>
      </c>
      <c r="B618" s="6">
        <v>288</v>
      </c>
    </row>
    <row r="619" spans="1:2">
      <c r="A619" t="s">
        <v>112</v>
      </c>
      <c r="B619" s="6">
        <v>288</v>
      </c>
    </row>
    <row r="620" spans="1:2">
      <c r="A620" t="s">
        <v>112</v>
      </c>
      <c r="B620" s="6">
        <v>216</v>
      </c>
    </row>
    <row r="621" spans="1:2">
      <c r="A621" t="s">
        <v>112</v>
      </c>
      <c r="B621" s="6">
        <v>216</v>
      </c>
    </row>
    <row r="622" spans="1:2">
      <c r="A622" t="s">
        <v>112</v>
      </c>
      <c r="B622" s="6">
        <v>144</v>
      </c>
    </row>
    <row r="623" spans="1:2">
      <c r="A623" t="s">
        <v>112</v>
      </c>
      <c r="B623" s="6">
        <v>144</v>
      </c>
    </row>
    <row r="624" spans="1:2">
      <c r="A624" t="s">
        <v>112</v>
      </c>
      <c r="B624" s="6">
        <v>72</v>
      </c>
    </row>
    <row r="625" spans="1:2">
      <c r="A625" t="s">
        <v>112</v>
      </c>
      <c r="B625" s="6">
        <v>72</v>
      </c>
    </row>
    <row r="626" spans="1:2">
      <c r="A626" t="s">
        <v>112</v>
      </c>
      <c r="B626" s="6">
        <v>72</v>
      </c>
    </row>
    <row r="627" spans="1:2">
      <c r="A627" t="s">
        <v>112</v>
      </c>
      <c r="B627" s="6">
        <v>72</v>
      </c>
    </row>
    <row r="628" spans="1:2">
      <c r="A628" t="s">
        <v>77</v>
      </c>
      <c r="B628" s="6">
        <v>376</v>
      </c>
    </row>
    <row r="629" spans="1:2">
      <c r="A629" t="s">
        <v>77</v>
      </c>
      <c r="B629" s="6">
        <v>376</v>
      </c>
    </row>
    <row r="630" spans="1:2">
      <c r="A630" t="s">
        <v>77</v>
      </c>
      <c r="B630" s="6">
        <v>376</v>
      </c>
    </row>
    <row r="631" spans="1:2">
      <c r="A631" t="s">
        <v>77</v>
      </c>
      <c r="B631" s="6">
        <v>282</v>
      </c>
    </row>
    <row r="632" spans="1:2">
      <c r="A632" t="s">
        <v>77</v>
      </c>
      <c r="B632" s="6">
        <v>282</v>
      </c>
    </row>
    <row r="633" spans="1:2">
      <c r="A633" t="s">
        <v>77</v>
      </c>
      <c r="B633" s="6">
        <v>188</v>
      </c>
    </row>
    <row r="634" spans="1:2">
      <c r="A634" t="s">
        <v>77</v>
      </c>
      <c r="B634" s="6">
        <v>188</v>
      </c>
    </row>
    <row r="635" spans="1:2">
      <c r="A635" t="s">
        <v>77</v>
      </c>
      <c r="B635" s="6">
        <v>188</v>
      </c>
    </row>
    <row r="636" spans="1:2">
      <c r="A636" t="s">
        <v>77</v>
      </c>
      <c r="B636" s="6">
        <v>94</v>
      </c>
    </row>
    <row r="637" spans="1:2">
      <c r="A637" t="s">
        <v>77</v>
      </c>
      <c r="B637" s="6">
        <v>94</v>
      </c>
    </row>
    <row r="638" spans="1:2">
      <c r="A638" t="s">
        <v>77</v>
      </c>
      <c r="B638" s="6">
        <v>94</v>
      </c>
    </row>
    <row r="639" spans="1:2">
      <c r="A639" t="s">
        <v>77</v>
      </c>
      <c r="B639" s="6">
        <v>94</v>
      </c>
    </row>
    <row r="640" spans="1:2">
      <c r="A640" t="s">
        <v>77</v>
      </c>
      <c r="B640" s="6">
        <v>94</v>
      </c>
    </row>
    <row r="641" spans="1:2">
      <c r="A641" t="s">
        <v>165</v>
      </c>
      <c r="B641" s="6">
        <v>964</v>
      </c>
    </row>
    <row r="642" spans="1:2">
      <c r="A642" t="s">
        <v>165</v>
      </c>
      <c r="B642" s="6">
        <v>964</v>
      </c>
    </row>
    <row r="643" spans="1:2">
      <c r="A643" t="s">
        <v>165</v>
      </c>
      <c r="B643" s="6">
        <v>964</v>
      </c>
    </row>
    <row r="644" spans="1:2">
      <c r="A644" t="s">
        <v>165</v>
      </c>
      <c r="B644" s="6">
        <v>964</v>
      </c>
    </row>
    <row r="645" spans="1:2">
      <c r="A645" t="s">
        <v>165</v>
      </c>
      <c r="B645" s="6">
        <v>723</v>
      </c>
    </row>
    <row r="646" spans="1:2">
      <c r="A646" t="s">
        <v>165</v>
      </c>
      <c r="B646" s="6">
        <v>723</v>
      </c>
    </row>
    <row r="647" spans="1:2">
      <c r="A647" t="s">
        <v>165</v>
      </c>
      <c r="B647" s="6">
        <v>723</v>
      </c>
    </row>
    <row r="648" spans="1:2">
      <c r="A648" t="s">
        <v>165</v>
      </c>
      <c r="B648" s="6">
        <v>482</v>
      </c>
    </row>
    <row r="649" spans="1:2">
      <c r="A649" t="s">
        <v>165</v>
      </c>
      <c r="B649" s="6">
        <v>482</v>
      </c>
    </row>
    <row r="650" spans="1:2">
      <c r="A650" t="s">
        <v>165</v>
      </c>
      <c r="B650" s="6">
        <v>482</v>
      </c>
    </row>
    <row r="651" spans="1:2">
      <c r="A651" t="s">
        <v>165</v>
      </c>
      <c r="B651" s="6">
        <v>482</v>
      </c>
    </row>
    <row r="652" spans="1:2">
      <c r="A652" t="s">
        <v>165</v>
      </c>
      <c r="B652" s="6">
        <v>241</v>
      </c>
    </row>
    <row r="653" spans="1:2">
      <c r="A653" t="s">
        <v>165</v>
      </c>
      <c r="B653" s="6">
        <v>241</v>
      </c>
    </row>
    <row r="654" spans="1:2">
      <c r="A654" t="s">
        <v>367</v>
      </c>
      <c r="B654" s="6">
        <v>632</v>
      </c>
    </row>
    <row r="655" spans="1:2">
      <c r="A655" t="s">
        <v>367</v>
      </c>
      <c r="B655" s="6">
        <v>474</v>
      </c>
    </row>
    <row r="656" spans="1:2">
      <c r="A656" t="s">
        <v>367</v>
      </c>
      <c r="B656" s="6">
        <v>316</v>
      </c>
    </row>
    <row r="657" spans="1:2">
      <c r="A657" t="s">
        <v>367</v>
      </c>
      <c r="B657" s="6">
        <v>158</v>
      </c>
    </row>
    <row r="658" spans="1:2">
      <c r="A658" t="s">
        <v>63</v>
      </c>
      <c r="B658" s="6">
        <v>1176</v>
      </c>
    </row>
    <row r="659" spans="1:2">
      <c r="A659" t="s">
        <v>63</v>
      </c>
      <c r="B659" s="6">
        <v>1176</v>
      </c>
    </row>
    <row r="660" spans="1:2">
      <c r="A660" t="s">
        <v>63</v>
      </c>
      <c r="B660" s="6">
        <v>1176</v>
      </c>
    </row>
    <row r="661" spans="1:2">
      <c r="A661" t="s">
        <v>63</v>
      </c>
      <c r="B661" s="6">
        <v>1176</v>
      </c>
    </row>
    <row r="662" spans="1:2">
      <c r="A662" t="s">
        <v>63</v>
      </c>
      <c r="B662" s="6">
        <v>1176</v>
      </c>
    </row>
    <row r="663" spans="1:2">
      <c r="A663" t="s">
        <v>63</v>
      </c>
      <c r="B663" s="6">
        <v>882</v>
      </c>
    </row>
    <row r="664" spans="1:2">
      <c r="A664" t="s">
        <v>63</v>
      </c>
      <c r="B664" s="6">
        <v>882</v>
      </c>
    </row>
    <row r="665" spans="1:2">
      <c r="A665" t="s">
        <v>63</v>
      </c>
      <c r="B665" s="6">
        <v>588</v>
      </c>
    </row>
    <row r="666" spans="1:2">
      <c r="A666" t="s">
        <v>63</v>
      </c>
      <c r="B666" s="6">
        <v>588</v>
      </c>
    </row>
    <row r="667" spans="1:2">
      <c r="A667" t="s">
        <v>63</v>
      </c>
      <c r="B667" s="6">
        <v>294</v>
      </c>
    </row>
    <row r="668" spans="1:2">
      <c r="A668" t="s">
        <v>63</v>
      </c>
      <c r="B668" s="6">
        <v>294</v>
      </c>
    </row>
    <row r="669" spans="1:2">
      <c r="A669" t="s">
        <v>107</v>
      </c>
      <c r="B669" s="6">
        <v>696</v>
      </c>
    </row>
    <row r="670" spans="1:2">
      <c r="A670" t="s">
        <v>107</v>
      </c>
      <c r="B670" s="6">
        <v>696</v>
      </c>
    </row>
    <row r="671" spans="1:2">
      <c r="A671" t="s">
        <v>107</v>
      </c>
      <c r="B671" s="6">
        <v>696</v>
      </c>
    </row>
    <row r="672" spans="1:2">
      <c r="A672" t="s">
        <v>107</v>
      </c>
      <c r="B672" s="6">
        <v>696</v>
      </c>
    </row>
    <row r="673" spans="1:2">
      <c r="A673" t="s">
        <v>107</v>
      </c>
      <c r="B673" s="6">
        <v>464</v>
      </c>
    </row>
    <row r="674" spans="1:2">
      <c r="A674" t="s">
        <v>107</v>
      </c>
      <c r="B674" s="6">
        <v>464</v>
      </c>
    </row>
    <row r="675" spans="1:2">
      <c r="A675" t="s">
        <v>107</v>
      </c>
      <c r="B675" s="6">
        <v>232</v>
      </c>
    </row>
    <row r="676" spans="1:2">
      <c r="A676" t="s">
        <v>142</v>
      </c>
      <c r="B676" s="6">
        <v>1104</v>
      </c>
    </row>
    <row r="677" spans="1:2">
      <c r="A677" t="s">
        <v>142</v>
      </c>
      <c r="B677" s="6">
        <v>828</v>
      </c>
    </row>
    <row r="678" spans="1:2">
      <c r="A678" t="s">
        <v>142</v>
      </c>
      <c r="B678" s="6">
        <v>828</v>
      </c>
    </row>
    <row r="679" spans="1:2">
      <c r="A679" t="s">
        <v>142</v>
      </c>
      <c r="B679" s="6">
        <v>552</v>
      </c>
    </row>
    <row r="680" spans="1:2">
      <c r="A680" t="s">
        <v>142</v>
      </c>
      <c r="B680" s="6">
        <v>276</v>
      </c>
    </row>
    <row r="681" spans="1:2">
      <c r="A681" t="s">
        <v>142</v>
      </c>
      <c r="B681" s="6">
        <v>276</v>
      </c>
    </row>
    <row r="682" spans="1:2">
      <c r="A682" t="s">
        <v>242</v>
      </c>
      <c r="B682" s="6">
        <v>560</v>
      </c>
    </row>
    <row r="683" spans="1:2">
      <c r="A683" t="s">
        <v>242</v>
      </c>
      <c r="B683" s="6">
        <v>560</v>
      </c>
    </row>
    <row r="684" spans="1:2">
      <c r="A684" t="s">
        <v>242</v>
      </c>
      <c r="B684" s="6">
        <v>560</v>
      </c>
    </row>
    <row r="685" spans="1:2">
      <c r="A685" t="s">
        <v>242</v>
      </c>
      <c r="B685" s="6">
        <v>560</v>
      </c>
    </row>
    <row r="686" spans="1:2">
      <c r="A686" t="s">
        <v>242</v>
      </c>
      <c r="B686" s="6">
        <v>420</v>
      </c>
    </row>
    <row r="687" spans="1:2">
      <c r="A687" t="s">
        <v>242</v>
      </c>
      <c r="B687" s="6">
        <v>420</v>
      </c>
    </row>
    <row r="688" spans="1:2">
      <c r="A688" t="s">
        <v>242</v>
      </c>
      <c r="B688" s="6">
        <v>420</v>
      </c>
    </row>
    <row r="689" spans="1:2">
      <c r="A689" t="s">
        <v>242</v>
      </c>
      <c r="B689" s="6">
        <v>280</v>
      </c>
    </row>
    <row r="690" spans="1:2">
      <c r="A690" t="s">
        <v>242</v>
      </c>
      <c r="B690" s="6">
        <v>280</v>
      </c>
    </row>
    <row r="691" spans="1:2">
      <c r="A691" t="s">
        <v>242</v>
      </c>
      <c r="B691" s="6">
        <v>280</v>
      </c>
    </row>
    <row r="692" spans="1:2">
      <c r="A692" t="s">
        <v>242</v>
      </c>
      <c r="B692" s="6">
        <v>280</v>
      </c>
    </row>
    <row r="693" spans="1:2">
      <c r="A693" t="s">
        <v>242</v>
      </c>
      <c r="B693" s="6">
        <v>280</v>
      </c>
    </row>
    <row r="694" spans="1:2">
      <c r="A694" t="s">
        <v>242</v>
      </c>
      <c r="B694" s="6">
        <v>140</v>
      </c>
    </row>
    <row r="695" spans="1:2">
      <c r="A695" t="s">
        <v>110</v>
      </c>
      <c r="B695" s="6">
        <v>496</v>
      </c>
    </row>
    <row r="696" spans="1:2">
      <c r="A696" t="s">
        <v>110</v>
      </c>
      <c r="B696" s="6">
        <v>496</v>
      </c>
    </row>
    <row r="697" spans="1:2">
      <c r="A697" t="s">
        <v>110</v>
      </c>
      <c r="B697" s="6">
        <v>372</v>
      </c>
    </row>
    <row r="698" spans="1:2">
      <c r="A698" t="s">
        <v>118</v>
      </c>
      <c r="B698" s="6">
        <v>460</v>
      </c>
    </row>
    <row r="699" spans="1:2">
      <c r="A699" t="s">
        <v>118</v>
      </c>
      <c r="B699" s="6">
        <v>345</v>
      </c>
    </row>
    <row r="700" spans="1:2">
      <c r="A700" t="s">
        <v>118</v>
      </c>
      <c r="B700" s="6">
        <v>345</v>
      </c>
    </row>
    <row r="701" spans="1:2">
      <c r="A701" t="s">
        <v>118</v>
      </c>
      <c r="B701" s="6">
        <v>345</v>
      </c>
    </row>
    <row r="702" spans="1:2">
      <c r="A702" t="s">
        <v>118</v>
      </c>
      <c r="B702" s="6">
        <v>230</v>
      </c>
    </row>
    <row r="703" spans="1:2">
      <c r="A703" t="s">
        <v>118</v>
      </c>
      <c r="B703" s="6">
        <v>230</v>
      </c>
    </row>
    <row r="704" spans="1:2">
      <c r="A704" t="s">
        <v>118</v>
      </c>
      <c r="B704" s="6">
        <v>230</v>
      </c>
    </row>
    <row r="705" spans="1:2">
      <c r="A705" t="s">
        <v>118</v>
      </c>
      <c r="B705" s="6">
        <v>115</v>
      </c>
    </row>
    <row r="706" spans="1:2">
      <c r="A706" t="s">
        <v>118</v>
      </c>
      <c r="B706" s="6">
        <v>115</v>
      </c>
    </row>
    <row r="707" spans="1:2">
      <c r="A707" t="s">
        <v>118</v>
      </c>
      <c r="B707" s="6">
        <v>115</v>
      </c>
    </row>
    <row r="708" spans="1:2">
      <c r="A708" t="s">
        <v>118</v>
      </c>
      <c r="B708" s="6">
        <v>115</v>
      </c>
    </row>
    <row r="709" spans="1:2">
      <c r="A709" t="s">
        <v>118</v>
      </c>
      <c r="B709" s="6">
        <v>115</v>
      </c>
    </row>
    <row r="710" spans="1:2">
      <c r="A710" t="s">
        <v>118</v>
      </c>
      <c r="B710" s="6">
        <v>115</v>
      </c>
    </row>
    <row r="711" spans="1:2">
      <c r="A711" t="s">
        <v>204</v>
      </c>
      <c r="B711" s="6">
        <v>916</v>
      </c>
    </row>
    <row r="712" spans="1:2">
      <c r="A712" t="s">
        <v>204</v>
      </c>
      <c r="B712" s="6">
        <v>916</v>
      </c>
    </row>
    <row r="713" spans="1:2">
      <c r="A713" t="s">
        <v>204</v>
      </c>
      <c r="B713" s="6">
        <v>916</v>
      </c>
    </row>
    <row r="714" spans="1:2">
      <c r="A714" t="s">
        <v>204</v>
      </c>
      <c r="B714" s="6">
        <v>916</v>
      </c>
    </row>
    <row r="715" spans="1:2">
      <c r="A715" t="s">
        <v>204</v>
      </c>
      <c r="B715" s="6">
        <v>916</v>
      </c>
    </row>
    <row r="716" spans="1:2">
      <c r="A716" t="s">
        <v>204</v>
      </c>
      <c r="B716" s="6">
        <v>916</v>
      </c>
    </row>
    <row r="717" spans="1:2">
      <c r="A717" t="s">
        <v>204</v>
      </c>
      <c r="B717" s="6">
        <v>687</v>
      </c>
    </row>
    <row r="718" spans="1:2">
      <c r="A718" t="s">
        <v>204</v>
      </c>
      <c r="B718" s="6">
        <v>687</v>
      </c>
    </row>
    <row r="719" spans="1:2">
      <c r="A719" t="s">
        <v>204</v>
      </c>
      <c r="B719" s="6">
        <v>687</v>
      </c>
    </row>
    <row r="720" spans="1:2">
      <c r="A720" t="s">
        <v>204</v>
      </c>
      <c r="B720" s="6">
        <v>458</v>
      </c>
    </row>
    <row r="721" spans="1:2">
      <c r="A721" t="s">
        <v>204</v>
      </c>
      <c r="B721" s="6">
        <v>458</v>
      </c>
    </row>
    <row r="722" spans="1:2">
      <c r="A722" t="s">
        <v>204</v>
      </c>
      <c r="B722" s="6">
        <v>458</v>
      </c>
    </row>
    <row r="723" spans="1:2">
      <c r="A723" t="s">
        <v>204</v>
      </c>
      <c r="B723" s="6">
        <v>458</v>
      </c>
    </row>
    <row r="724" spans="1:2">
      <c r="A724" t="s">
        <v>204</v>
      </c>
      <c r="B724" s="6">
        <v>229</v>
      </c>
    </row>
    <row r="725" spans="1:2">
      <c r="A725" t="s">
        <v>24</v>
      </c>
      <c r="B725" s="6">
        <v>420</v>
      </c>
    </row>
    <row r="726" spans="1:2">
      <c r="A726" t="s">
        <v>24</v>
      </c>
      <c r="B726" s="6">
        <v>420</v>
      </c>
    </row>
    <row r="727" spans="1:2">
      <c r="A727" t="s">
        <v>24</v>
      </c>
      <c r="B727" s="6">
        <v>315</v>
      </c>
    </row>
    <row r="728" spans="1:2">
      <c r="A728" t="s">
        <v>24</v>
      </c>
      <c r="B728" s="6">
        <v>315</v>
      </c>
    </row>
    <row r="729" spans="1:2">
      <c r="A729" t="s">
        <v>24</v>
      </c>
      <c r="B729" s="6">
        <v>315</v>
      </c>
    </row>
    <row r="730" spans="1:2">
      <c r="A730" t="s">
        <v>24</v>
      </c>
      <c r="B730" s="6">
        <v>315</v>
      </c>
    </row>
    <row r="731" spans="1:2">
      <c r="A731" t="s">
        <v>24</v>
      </c>
      <c r="B731" s="6">
        <v>210</v>
      </c>
    </row>
    <row r="732" spans="1:2">
      <c r="A732" t="s">
        <v>24</v>
      </c>
      <c r="B732" s="6">
        <v>210</v>
      </c>
    </row>
    <row r="733" spans="1:2">
      <c r="A733" t="s">
        <v>24</v>
      </c>
      <c r="B733" s="6">
        <v>105</v>
      </c>
    </row>
    <row r="734" spans="1:2">
      <c r="A734" t="s">
        <v>24</v>
      </c>
      <c r="B734" s="6">
        <v>105</v>
      </c>
    </row>
    <row r="735" spans="1:2">
      <c r="A735" t="s">
        <v>24</v>
      </c>
      <c r="B735" s="6">
        <v>105</v>
      </c>
    </row>
    <row r="736" spans="1:2">
      <c r="A736" t="s">
        <v>31</v>
      </c>
      <c r="B736" s="6">
        <v>748</v>
      </c>
    </row>
    <row r="737" spans="1:2">
      <c r="A737" t="s">
        <v>31</v>
      </c>
      <c r="B737" s="6">
        <v>748</v>
      </c>
    </row>
    <row r="738" spans="1:2">
      <c r="A738" t="s">
        <v>31</v>
      </c>
      <c r="B738" s="6">
        <v>748</v>
      </c>
    </row>
    <row r="739" spans="1:2">
      <c r="A739" t="s">
        <v>31</v>
      </c>
      <c r="B739" s="6">
        <v>748</v>
      </c>
    </row>
    <row r="740" spans="1:2">
      <c r="A740" t="s">
        <v>31</v>
      </c>
      <c r="B740" s="6">
        <v>748</v>
      </c>
    </row>
    <row r="741" spans="1:2">
      <c r="A741" t="s">
        <v>31</v>
      </c>
      <c r="B741" s="6">
        <v>561</v>
      </c>
    </row>
    <row r="742" spans="1:2">
      <c r="A742" t="s">
        <v>31</v>
      </c>
      <c r="B742" s="6">
        <v>561</v>
      </c>
    </row>
    <row r="743" spans="1:2">
      <c r="A743" t="s">
        <v>31</v>
      </c>
      <c r="B743" s="6">
        <v>374</v>
      </c>
    </row>
    <row r="744" spans="1:2">
      <c r="A744" t="s">
        <v>31</v>
      </c>
      <c r="B744" s="6">
        <v>374</v>
      </c>
    </row>
    <row r="745" spans="1:2">
      <c r="A745" t="s">
        <v>31</v>
      </c>
      <c r="B745" s="6">
        <v>374</v>
      </c>
    </row>
    <row r="746" spans="1:2">
      <c r="A746" t="s">
        <v>31</v>
      </c>
      <c r="B746" s="6">
        <v>374</v>
      </c>
    </row>
    <row r="747" spans="1:2">
      <c r="A747" t="s">
        <v>31</v>
      </c>
      <c r="B747" s="6">
        <v>374</v>
      </c>
    </row>
    <row r="748" spans="1:2">
      <c r="A748" t="s">
        <v>31</v>
      </c>
      <c r="B748" s="6">
        <v>187</v>
      </c>
    </row>
    <row r="749" spans="1:2">
      <c r="A749" t="s">
        <v>210</v>
      </c>
      <c r="B749" s="6">
        <v>540</v>
      </c>
    </row>
    <row r="750" spans="1:2">
      <c r="A750" t="s">
        <v>210</v>
      </c>
      <c r="B750" s="6">
        <v>540</v>
      </c>
    </row>
    <row r="751" spans="1:2">
      <c r="A751" t="s">
        <v>210</v>
      </c>
      <c r="B751" s="6">
        <v>540</v>
      </c>
    </row>
    <row r="752" spans="1:2">
      <c r="A752" t="s">
        <v>210</v>
      </c>
      <c r="B752" s="6">
        <v>405</v>
      </c>
    </row>
    <row r="753" spans="1:2">
      <c r="A753" t="s">
        <v>210</v>
      </c>
      <c r="B753" s="6">
        <v>270</v>
      </c>
    </row>
    <row r="754" spans="1:2">
      <c r="A754" t="s">
        <v>210</v>
      </c>
      <c r="B754" s="6">
        <v>270</v>
      </c>
    </row>
    <row r="755" spans="1:2">
      <c r="A755" t="s">
        <v>210</v>
      </c>
      <c r="B755" s="6">
        <v>270</v>
      </c>
    </row>
    <row r="756" spans="1:2">
      <c r="A756" t="s">
        <v>210</v>
      </c>
      <c r="B756" s="6">
        <v>135</v>
      </c>
    </row>
    <row r="757" spans="1:2">
      <c r="A757" t="s">
        <v>302</v>
      </c>
      <c r="B757" s="6">
        <v>700</v>
      </c>
    </row>
    <row r="758" spans="1:2">
      <c r="A758" t="s">
        <v>302</v>
      </c>
      <c r="B758" s="6">
        <v>700</v>
      </c>
    </row>
    <row r="759" spans="1:2">
      <c r="A759" t="s">
        <v>302</v>
      </c>
      <c r="B759" s="6">
        <v>350</v>
      </c>
    </row>
    <row r="760" spans="1:2">
      <c r="A760" t="s">
        <v>302</v>
      </c>
      <c r="B760" s="6">
        <v>350</v>
      </c>
    </row>
    <row r="761" spans="1:2">
      <c r="A761" t="s">
        <v>302</v>
      </c>
      <c r="B761" s="6">
        <v>175</v>
      </c>
    </row>
    <row r="762" spans="1:2">
      <c r="A762" t="s">
        <v>302</v>
      </c>
      <c r="B762" s="6">
        <v>175</v>
      </c>
    </row>
    <row r="763" spans="1:2">
      <c r="A763" t="s">
        <v>43</v>
      </c>
      <c r="B763" s="6">
        <v>912</v>
      </c>
    </row>
    <row r="764" spans="1:2">
      <c r="A764" t="s">
        <v>43</v>
      </c>
      <c r="B764" s="6">
        <v>912</v>
      </c>
    </row>
    <row r="765" spans="1:2">
      <c r="A765" t="s">
        <v>43</v>
      </c>
      <c r="B765" s="6">
        <v>912</v>
      </c>
    </row>
    <row r="766" spans="1:2">
      <c r="A766" t="s">
        <v>43</v>
      </c>
      <c r="B766" s="6">
        <v>912</v>
      </c>
    </row>
    <row r="767" spans="1:2">
      <c r="A767" t="s">
        <v>43</v>
      </c>
      <c r="B767" s="6">
        <v>684</v>
      </c>
    </row>
    <row r="768" spans="1:2">
      <c r="A768" t="s">
        <v>43</v>
      </c>
      <c r="B768" s="6">
        <v>684</v>
      </c>
    </row>
    <row r="769" spans="1:2">
      <c r="A769" t="s">
        <v>43</v>
      </c>
      <c r="B769" s="6">
        <v>456</v>
      </c>
    </row>
    <row r="770" spans="1:2">
      <c r="A770" t="s">
        <v>43</v>
      </c>
      <c r="B770" s="6">
        <v>228</v>
      </c>
    </row>
    <row r="771" spans="1:2">
      <c r="A771" t="s">
        <v>265</v>
      </c>
      <c r="B771" s="6">
        <v>872</v>
      </c>
    </row>
    <row r="772" spans="1:2">
      <c r="A772" t="s">
        <v>265</v>
      </c>
      <c r="B772" s="6">
        <v>872</v>
      </c>
    </row>
    <row r="773" spans="1:2">
      <c r="A773" t="s">
        <v>265</v>
      </c>
      <c r="B773" s="6">
        <v>872</v>
      </c>
    </row>
    <row r="774" spans="1:2">
      <c r="A774" t="s">
        <v>265</v>
      </c>
      <c r="B774" s="6">
        <v>654</v>
      </c>
    </row>
    <row r="775" spans="1:2">
      <c r="A775" t="s">
        <v>265</v>
      </c>
      <c r="B775" s="6">
        <v>654</v>
      </c>
    </row>
    <row r="776" spans="1:2">
      <c r="A776" t="s">
        <v>265</v>
      </c>
      <c r="B776" s="6">
        <v>654</v>
      </c>
    </row>
    <row r="777" spans="1:2">
      <c r="A777" t="s">
        <v>265</v>
      </c>
      <c r="B777" s="6">
        <v>654</v>
      </c>
    </row>
    <row r="778" spans="1:2">
      <c r="A778" t="s">
        <v>265</v>
      </c>
      <c r="B778" s="6">
        <v>654</v>
      </c>
    </row>
    <row r="779" spans="1:2">
      <c r="A779" t="s">
        <v>265</v>
      </c>
      <c r="B779" s="6">
        <v>436</v>
      </c>
    </row>
    <row r="780" spans="1:2">
      <c r="A780" t="s">
        <v>265</v>
      </c>
      <c r="B780" s="6">
        <v>436</v>
      </c>
    </row>
    <row r="781" spans="1:2">
      <c r="A781" t="s">
        <v>265</v>
      </c>
      <c r="B781" s="6">
        <v>218</v>
      </c>
    </row>
    <row r="782" spans="1:2">
      <c r="A782" t="s">
        <v>265</v>
      </c>
      <c r="B782" s="6">
        <v>218</v>
      </c>
    </row>
    <row r="783" spans="1:2">
      <c r="A783" t="s">
        <v>71</v>
      </c>
      <c r="B783" s="6">
        <v>504</v>
      </c>
    </row>
    <row r="784" spans="1:2">
      <c r="A784" t="s">
        <v>71</v>
      </c>
      <c r="B784" s="6">
        <v>504</v>
      </c>
    </row>
    <row r="785" spans="1:2">
      <c r="A785" t="s">
        <v>71</v>
      </c>
      <c r="B785" s="6">
        <v>504</v>
      </c>
    </row>
    <row r="786" spans="1:2">
      <c r="A786" t="s">
        <v>71</v>
      </c>
      <c r="B786" s="6">
        <v>504</v>
      </c>
    </row>
    <row r="787" spans="1:2">
      <c r="A787" t="s">
        <v>71</v>
      </c>
      <c r="B787" s="6">
        <v>378</v>
      </c>
    </row>
    <row r="788" spans="1:2">
      <c r="A788" t="s">
        <v>71</v>
      </c>
      <c r="B788" s="6">
        <v>252</v>
      </c>
    </row>
    <row r="789" spans="1:2">
      <c r="A789" t="s">
        <v>71</v>
      </c>
      <c r="B789" s="6">
        <v>252</v>
      </c>
    </row>
    <row r="790" spans="1:2">
      <c r="A790" t="s">
        <v>71</v>
      </c>
      <c r="B790" s="6">
        <v>252</v>
      </c>
    </row>
    <row r="791" spans="1:2">
      <c r="A791" t="s">
        <v>71</v>
      </c>
      <c r="B791" s="6">
        <v>252</v>
      </c>
    </row>
    <row r="792" spans="1:2">
      <c r="A792" t="s">
        <v>71</v>
      </c>
      <c r="B792" s="6">
        <v>126</v>
      </c>
    </row>
    <row r="793" spans="1:2">
      <c r="A793" t="s">
        <v>71</v>
      </c>
      <c r="B793" s="6">
        <v>126</v>
      </c>
    </row>
    <row r="794" spans="1:2">
      <c r="A794" t="s">
        <v>71</v>
      </c>
      <c r="B794" s="6">
        <v>126</v>
      </c>
    </row>
    <row r="795" spans="1:2">
      <c r="A795" t="s">
        <v>260</v>
      </c>
      <c r="B795" s="6">
        <v>888</v>
      </c>
    </row>
    <row r="796" spans="1:2">
      <c r="A796" t="s">
        <v>260</v>
      </c>
      <c r="B796" s="6">
        <v>666</v>
      </c>
    </row>
    <row r="797" spans="1:2">
      <c r="A797" t="s">
        <v>260</v>
      </c>
      <c r="B797" s="6">
        <v>666</v>
      </c>
    </row>
    <row r="798" spans="1:2">
      <c r="A798" t="s">
        <v>260</v>
      </c>
      <c r="B798" s="6">
        <v>444</v>
      </c>
    </row>
    <row r="799" spans="1:2">
      <c r="A799" t="s">
        <v>260</v>
      </c>
      <c r="B799" s="6">
        <v>444</v>
      </c>
    </row>
    <row r="800" spans="1:2">
      <c r="A800" t="s">
        <v>260</v>
      </c>
      <c r="B800" s="6">
        <v>444</v>
      </c>
    </row>
    <row r="801" spans="1:2">
      <c r="A801" t="s">
        <v>260</v>
      </c>
      <c r="B801" s="6">
        <v>222</v>
      </c>
    </row>
    <row r="802" spans="1:2">
      <c r="A802" t="s">
        <v>178</v>
      </c>
      <c r="B802" s="6">
        <v>484</v>
      </c>
    </row>
    <row r="803" spans="1:2">
      <c r="A803" t="s">
        <v>178</v>
      </c>
      <c r="B803" s="6">
        <v>484</v>
      </c>
    </row>
    <row r="804" spans="1:2">
      <c r="A804" t="s">
        <v>178</v>
      </c>
      <c r="B804" s="6">
        <v>363</v>
      </c>
    </row>
    <row r="805" spans="1:2">
      <c r="A805" t="s">
        <v>178</v>
      </c>
      <c r="B805" s="6">
        <v>363</v>
      </c>
    </row>
    <row r="806" spans="1:2">
      <c r="A806" t="s">
        <v>178</v>
      </c>
      <c r="B806" s="6">
        <v>121</v>
      </c>
    </row>
    <row r="807" spans="1:2">
      <c r="A807" t="s">
        <v>178</v>
      </c>
      <c r="B807" s="6">
        <v>121</v>
      </c>
    </row>
    <row r="808" spans="1:2">
      <c r="A808" t="s">
        <v>178</v>
      </c>
      <c r="B808" s="6">
        <v>121</v>
      </c>
    </row>
    <row r="809" spans="1:2">
      <c r="A809" t="s">
        <v>221</v>
      </c>
      <c r="B809" s="6">
        <v>832</v>
      </c>
    </row>
    <row r="810" spans="1:2">
      <c r="A810" t="s">
        <v>221</v>
      </c>
      <c r="B810" s="6">
        <v>832</v>
      </c>
    </row>
    <row r="811" spans="1:2">
      <c r="A811" t="s">
        <v>221</v>
      </c>
      <c r="B811" s="6">
        <v>416</v>
      </c>
    </row>
    <row r="812" spans="1:2">
      <c r="A812" t="s">
        <v>221</v>
      </c>
      <c r="B812" s="6">
        <v>416</v>
      </c>
    </row>
    <row r="813" spans="1:2">
      <c r="A813" t="s">
        <v>221</v>
      </c>
      <c r="B813" s="6">
        <v>416</v>
      </c>
    </row>
    <row r="814" spans="1:2">
      <c r="A814" t="s">
        <v>176</v>
      </c>
      <c r="B814" s="6">
        <v>244</v>
      </c>
    </row>
    <row r="815" spans="1:2">
      <c r="A815" t="s">
        <v>176</v>
      </c>
      <c r="B815" s="6">
        <v>244</v>
      </c>
    </row>
    <row r="816" spans="1:2">
      <c r="A816" t="s">
        <v>176</v>
      </c>
      <c r="B816" s="6">
        <v>244</v>
      </c>
    </row>
    <row r="817" spans="1:2">
      <c r="A817" t="s">
        <v>176</v>
      </c>
      <c r="B817" s="6">
        <v>183</v>
      </c>
    </row>
    <row r="818" spans="1:2">
      <c r="A818" t="s">
        <v>176</v>
      </c>
      <c r="B818" s="6">
        <v>183</v>
      </c>
    </row>
    <row r="819" spans="1:2">
      <c r="A819" t="s">
        <v>176</v>
      </c>
      <c r="B819" s="6">
        <v>122</v>
      </c>
    </row>
    <row r="820" spans="1:2">
      <c r="A820" t="s">
        <v>176</v>
      </c>
      <c r="B820" s="6">
        <v>122</v>
      </c>
    </row>
    <row r="821" spans="1:2">
      <c r="A821" t="s">
        <v>176</v>
      </c>
      <c r="B821" s="6">
        <v>122</v>
      </c>
    </row>
    <row r="822" spans="1:2">
      <c r="A822" t="s">
        <v>176</v>
      </c>
      <c r="B822" s="6">
        <v>122</v>
      </c>
    </row>
    <row r="823" spans="1:2">
      <c r="A823" t="s">
        <v>176</v>
      </c>
      <c r="B823" s="6">
        <v>122</v>
      </c>
    </row>
    <row r="824" spans="1:2">
      <c r="A824" t="s">
        <v>176</v>
      </c>
      <c r="B824" s="6">
        <v>61</v>
      </c>
    </row>
    <row r="825" spans="1:2">
      <c r="A825" t="s">
        <v>176</v>
      </c>
      <c r="B825" s="6">
        <v>61</v>
      </c>
    </row>
    <row r="826" spans="1:2">
      <c r="A826" t="s">
        <v>176</v>
      </c>
      <c r="B826" s="6">
        <v>61</v>
      </c>
    </row>
    <row r="827" spans="1:2">
      <c r="A827" t="s">
        <v>176</v>
      </c>
      <c r="B827" s="6">
        <v>61</v>
      </c>
    </row>
    <row r="828" spans="1:2">
      <c r="A828" t="s">
        <v>48</v>
      </c>
      <c r="B828" s="6">
        <v>716</v>
      </c>
    </row>
    <row r="829" spans="1:2">
      <c r="A829" t="s">
        <v>48</v>
      </c>
      <c r="B829" s="6">
        <v>716</v>
      </c>
    </row>
    <row r="830" spans="1:2">
      <c r="A830" t="s">
        <v>48</v>
      </c>
      <c r="B830" s="6">
        <v>716</v>
      </c>
    </row>
    <row r="831" spans="1:2">
      <c r="A831" t="s">
        <v>48</v>
      </c>
      <c r="B831" s="6">
        <v>716</v>
      </c>
    </row>
    <row r="832" spans="1:2">
      <c r="A832" t="s">
        <v>48</v>
      </c>
      <c r="B832" s="6">
        <v>537</v>
      </c>
    </row>
    <row r="833" spans="1:2">
      <c r="A833" t="s">
        <v>48</v>
      </c>
      <c r="B833" s="6">
        <v>537</v>
      </c>
    </row>
    <row r="834" spans="1:2">
      <c r="A834" t="s">
        <v>48</v>
      </c>
      <c r="B834" s="6">
        <v>537</v>
      </c>
    </row>
    <row r="835" spans="1:2">
      <c r="A835" t="s">
        <v>48</v>
      </c>
      <c r="B835" s="6">
        <v>537</v>
      </c>
    </row>
    <row r="836" spans="1:2">
      <c r="A836" t="s">
        <v>48</v>
      </c>
      <c r="B836" s="6">
        <v>358</v>
      </c>
    </row>
    <row r="837" spans="1:2">
      <c r="A837" t="s">
        <v>48</v>
      </c>
      <c r="B837" s="6">
        <v>358</v>
      </c>
    </row>
    <row r="838" spans="1:2">
      <c r="A838" t="s">
        <v>48</v>
      </c>
      <c r="B838" s="6">
        <v>358</v>
      </c>
    </row>
    <row r="839" spans="1:2">
      <c r="A839" t="s">
        <v>48</v>
      </c>
      <c r="B839" s="6">
        <v>179</v>
      </c>
    </row>
    <row r="840" spans="1:2">
      <c r="A840" t="s">
        <v>180</v>
      </c>
      <c r="B840" s="6">
        <v>324</v>
      </c>
    </row>
    <row r="841" spans="1:2">
      <c r="A841" t="s">
        <v>180</v>
      </c>
      <c r="B841" s="6">
        <v>324</v>
      </c>
    </row>
    <row r="842" spans="1:2">
      <c r="A842" t="s">
        <v>180</v>
      </c>
      <c r="B842" s="6">
        <v>324</v>
      </c>
    </row>
    <row r="843" spans="1:2">
      <c r="A843" t="s">
        <v>180</v>
      </c>
      <c r="B843" s="6">
        <v>324</v>
      </c>
    </row>
    <row r="844" spans="1:2">
      <c r="A844" t="s">
        <v>180</v>
      </c>
      <c r="B844" s="6">
        <v>243</v>
      </c>
    </row>
    <row r="845" spans="1:2">
      <c r="A845" t="s">
        <v>180</v>
      </c>
      <c r="B845" s="6">
        <v>243</v>
      </c>
    </row>
    <row r="846" spans="1:2">
      <c r="A846" t="s">
        <v>180</v>
      </c>
      <c r="B846" s="6">
        <v>243</v>
      </c>
    </row>
    <row r="847" spans="1:2">
      <c r="A847" t="s">
        <v>180</v>
      </c>
      <c r="B847" s="6">
        <v>243</v>
      </c>
    </row>
    <row r="848" spans="1:2">
      <c r="A848" t="s">
        <v>180</v>
      </c>
      <c r="B848" s="6">
        <v>162</v>
      </c>
    </row>
    <row r="849" spans="1:2">
      <c r="A849" t="s">
        <v>180</v>
      </c>
      <c r="B849" s="6">
        <v>81</v>
      </c>
    </row>
    <row r="850" spans="1:2">
      <c r="A850" t="s">
        <v>180</v>
      </c>
      <c r="B850" s="6">
        <v>81</v>
      </c>
    </row>
    <row r="851" spans="1:2">
      <c r="A851" t="s">
        <v>180</v>
      </c>
      <c r="B851" s="6">
        <v>81</v>
      </c>
    </row>
    <row r="852" spans="1:2">
      <c r="A852" t="s">
        <v>180</v>
      </c>
      <c r="B852" s="6">
        <v>81</v>
      </c>
    </row>
    <row r="853" spans="1:2">
      <c r="A853" t="s">
        <v>180</v>
      </c>
      <c r="B853" s="6">
        <v>81</v>
      </c>
    </row>
    <row r="854" spans="1:2">
      <c r="A854" t="s">
        <v>180</v>
      </c>
      <c r="B854" s="6">
        <v>81</v>
      </c>
    </row>
    <row r="855" spans="1:2">
      <c r="A855" t="s">
        <v>180</v>
      </c>
      <c r="B855" s="6">
        <v>81</v>
      </c>
    </row>
    <row r="856" spans="1:2">
      <c r="A856" t="s">
        <v>18</v>
      </c>
      <c r="B856" s="6">
        <v>888</v>
      </c>
    </row>
    <row r="857" spans="1:2">
      <c r="A857" t="s">
        <v>18</v>
      </c>
      <c r="B857" s="6">
        <v>666</v>
      </c>
    </row>
    <row r="858" spans="1:2">
      <c r="A858" t="s">
        <v>18</v>
      </c>
      <c r="B858" s="6">
        <v>666</v>
      </c>
    </row>
    <row r="859" spans="1:2">
      <c r="A859" t="s">
        <v>18</v>
      </c>
      <c r="B859" s="6">
        <v>444</v>
      </c>
    </row>
    <row r="860" spans="1:2">
      <c r="A860" t="s">
        <v>18</v>
      </c>
      <c r="B860" s="6">
        <v>444</v>
      </c>
    </row>
    <row r="861" spans="1:2">
      <c r="A861" t="s">
        <v>18</v>
      </c>
      <c r="B861" s="6">
        <v>444</v>
      </c>
    </row>
    <row r="862" spans="1:2">
      <c r="A862" t="s">
        <v>18</v>
      </c>
      <c r="B862" s="6">
        <v>222</v>
      </c>
    </row>
    <row r="863" spans="1:2">
      <c r="A863" t="s">
        <v>18</v>
      </c>
      <c r="B863" s="6">
        <v>222</v>
      </c>
    </row>
    <row r="864" spans="1:2">
      <c r="A864" t="s">
        <v>11</v>
      </c>
      <c r="B864" s="6">
        <v>576</v>
      </c>
    </row>
    <row r="865" spans="1:2">
      <c r="A865" t="s">
        <v>11</v>
      </c>
      <c r="B865" s="6">
        <v>576</v>
      </c>
    </row>
    <row r="866" spans="1:2">
      <c r="A866" t="s">
        <v>11</v>
      </c>
      <c r="B866" s="6">
        <v>576</v>
      </c>
    </row>
    <row r="867" spans="1:2">
      <c r="A867" t="s">
        <v>11</v>
      </c>
      <c r="B867" s="6">
        <v>432</v>
      </c>
    </row>
    <row r="868" spans="1:2">
      <c r="A868" t="s">
        <v>11</v>
      </c>
      <c r="B868" s="6">
        <v>432</v>
      </c>
    </row>
    <row r="869" spans="1:2">
      <c r="A869" t="s">
        <v>11</v>
      </c>
      <c r="B869" s="6">
        <v>432</v>
      </c>
    </row>
    <row r="870" spans="1:2">
      <c r="A870" t="s">
        <v>11</v>
      </c>
      <c r="B870" s="6">
        <v>432</v>
      </c>
    </row>
    <row r="871" spans="1:2">
      <c r="A871" t="s">
        <v>11</v>
      </c>
      <c r="B871" s="6">
        <v>432</v>
      </c>
    </row>
    <row r="872" spans="1:2">
      <c r="A872" t="s">
        <v>11</v>
      </c>
      <c r="B872" s="6">
        <v>288</v>
      </c>
    </row>
    <row r="873" spans="1:2">
      <c r="A873" t="s">
        <v>11</v>
      </c>
      <c r="B873" s="6">
        <v>288</v>
      </c>
    </row>
    <row r="874" spans="1:2">
      <c r="A874" t="s">
        <v>11</v>
      </c>
      <c r="B874" s="6">
        <v>144</v>
      </c>
    </row>
    <row r="875" spans="1:2">
      <c r="A875" t="s">
        <v>190</v>
      </c>
      <c r="B875" s="6">
        <v>1092</v>
      </c>
    </row>
    <row r="876" spans="1:2">
      <c r="A876" t="s">
        <v>190</v>
      </c>
      <c r="B876" s="6">
        <v>1092</v>
      </c>
    </row>
    <row r="877" spans="1:2">
      <c r="A877" t="s">
        <v>190</v>
      </c>
      <c r="B877" s="6">
        <v>546</v>
      </c>
    </row>
    <row r="878" spans="1:2">
      <c r="A878" t="s">
        <v>190</v>
      </c>
      <c r="B878" s="6">
        <v>546</v>
      </c>
    </row>
    <row r="879" spans="1:2">
      <c r="A879" t="s">
        <v>190</v>
      </c>
      <c r="B879" s="6">
        <v>273</v>
      </c>
    </row>
    <row r="880" spans="1:2">
      <c r="A880" t="s">
        <v>83</v>
      </c>
      <c r="B880" s="6">
        <v>972</v>
      </c>
    </row>
    <row r="881" spans="1:2">
      <c r="A881" t="s">
        <v>83</v>
      </c>
      <c r="B881" s="6">
        <v>729</v>
      </c>
    </row>
    <row r="882" spans="1:2">
      <c r="A882" t="s">
        <v>83</v>
      </c>
      <c r="B882" s="6">
        <v>729</v>
      </c>
    </row>
    <row r="883" spans="1:2">
      <c r="A883" t="s">
        <v>83</v>
      </c>
      <c r="B883" s="6">
        <v>729</v>
      </c>
    </row>
    <row r="884" spans="1:2">
      <c r="A884" t="s">
        <v>83</v>
      </c>
      <c r="B884" s="6">
        <v>729</v>
      </c>
    </row>
    <row r="885" spans="1:2">
      <c r="A885" t="s">
        <v>83</v>
      </c>
      <c r="B885" s="6">
        <v>486</v>
      </c>
    </row>
    <row r="886" spans="1:2">
      <c r="A886" t="s">
        <v>83</v>
      </c>
      <c r="B886" s="6">
        <v>486</v>
      </c>
    </row>
    <row r="887" spans="1:2">
      <c r="A887" t="s">
        <v>83</v>
      </c>
      <c r="B887" s="6">
        <v>486</v>
      </c>
    </row>
    <row r="888" spans="1:2">
      <c r="A888" t="s">
        <v>83</v>
      </c>
      <c r="B888" s="6">
        <v>486</v>
      </c>
    </row>
    <row r="889" spans="1:2">
      <c r="A889" t="s">
        <v>83</v>
      </c>
      <c r="B889" s="6">
        <v>486</v>
      </c>
    </row>
    <row r="890" spans="1:2">
      <c r="A890" t="s">
        <v>83</v>
      </c>
      <c r="B890" s="6">
        <v>486</v>
      </c>
    </row>
    <row r="891" spans="1:2">
      <c r="A891" t="s">
        <v>83</v>
      </c>
      <c r="B891" s="6">
        <v>243</v>
      </c>
    </row>
    <row r="892" spans="1:2">
      <c r="A892" t="s">
        <v>83</v>
      </c>
      <c r="B892" s="6">
        <v>243</v>
      </c>
    </row>
    <row r="893" spans="1:2">
      <c r="A893" t="s">
        <v>83</v>
      </c>
      <c r="B893" s="6">
        <v>243</v>
      </c>
    </row>
    <row r="894" spans="1:2">
      <c r="A894" t="s">
        <v>83</v>
      </c>
      <c r="B894" s="6">
        <v>243</v>
      </c>
    </row>
    <row r="895" spans="1:2">
      <c r="A895" t="s">
        <v>83</v>
      </c>
      <c r="B895" s="6">
        <v>243</v>
      </c>
    </row>
    <row r="896" spans="1:2">
      <c r="A896" t="s">
        <v>44</v>
      </c>
      <c r="B896" s="6">
        <v>816</v>
      </c>
    </row>
    <row r="897" spans="1:2">
      <c r="A897" t="s">
        <v>44</v>
      </c>
      <c r="B897" s="6">
        <v>816</v>
      </c>
    </row>
    <row r="898" spans="1:2">
      <c r="A898" t="s">
        <v>44</v>
      </c>
      <c r="B898" s="6">
        <v>816</v>
      </c>
    </row>
    <row r="899" spans="1:2">
      <c r="A899" t="s">
        <v>44</v>
      </c>
      <c r="B899" s="6">
        <v>816</v>
      </c>
    </row>
    <row r="900" spans="1:2">
      <c r="A900" t="s">
        <v>44</v>
      </c>
      <c r="B900" s="6">
        <v>612</v>
      </c>
    </row>
    <row r="901" spans="1:2">
      <c r="A901" t="s">
        <v>44</v>
      </c>
      <c r="B901" s="6">
        <v>612</v>
      </c>
    </row>
    <row r="902" spans="1:2">
      <c r="A902" t="s">
        <v>44</v>
      </c>
      <c r="B902" s="6">
        <v>408</v>
      </c>
    </row>
    <row r="903" spans="1:2">
      <c r="A903" t="s">
        <v>44</v>
      </c>
      <c r="B903" s="6">
        <v>408</v>
      </c>
    </row>
    <row r="904" spans="1:2">
      <c r="A904" t="s">
        <v>44</v>
      </c>
      <c r="B904" s="6">
        <v>408</v>
      </c>
    </row>
    <row r="905" spans="1:2">
      <c r="A905" t="s">
        <v>44</v>
      </c>
      <c r="B905" s="6">
        <v>204</v>
      </c>
    </row>
    <row r="906" spans="1:2">
      <c r="A906" t="s">
        <v>44</v>
      </c>
      <c r="B906" s="6">
        <v>204</v>
      </c>
    </row>
    <row r="907" spans="1:2">
      <c r="A907" t="s">
        <v>44</v>
      </c>
      <c r="B907" s="6">
        <v>204</v>
      </c>
    </row>
    <row r="908" spans="1:2">
      <c r="A908" t="s">
        <v>44</v>
      </c>
      <c r="B908" s="6">
        <v>204</v>
      </c>
    </row>
    <row r="909" spans="1:2">
      <c r="A909" t="s">
        <v>21</v>
      </c>
      <c r="B909" s="6">
        <v>1116</v>
      </c>
    </row>
    <row r="910" spans="1:2">
      <c r="A910" t="s">
        <v>21</v>
      </c>
      <c r="B910" s="6">
        <v>1116</v>
      </c>
    </row>
    <row r="911" spans="1:2">
      <c r="A911" t="s">
        <v>21</v>
      </c>
      <c r="B911" s="6">
        <v>1116</v>
      </c>
    </row>
    <row r="912" spans="1:2">
      <c r="A912" t="s">
        <v>21</v>
      </c>
      <c r="B912" s="6">
        <v>1116</v>
      </c>
    </row>
    <row r="913" spans="1:2">
      <c r="A913" t="s">
        <v>21</v>
      </c>
      <c r="B913" s="6">
        <v>837</v>
      </c>
    </row>
    <row r="914" spans="1:2">
      <c r="A914" t="s">
        <v>21</v>
      </c>
      <c r="B914" s="6">
        <v>837</v>
      </c>
    </row>
    <row r="915" spans="1:2">
      <c r="A915" t="s">
        <v>21</v>
      </c>
      <c r="B915" s="6">
        <v>837</v>
      </c>
    </row>
    <row r="916" spans="1:2">
      <c r="A916" t="s">
        <v>21</v>
      </c>
      <c r="B916" s="6">
        <v>837</v>
      </c>
    </row>
    <row r="917" spans="1:2">
      <c r="A917" t="s">
        <v>21</v>
      </c>
      <c r="B917" s="6">
        <v>558</v>
      </c>
    </row>
    <row r="918" spans="1:2">
      <c r="A918" t="s">
        <v>21</v>
      </c>
      <c r="B918" s="6">
        <v>558</v>
      </c>
    </row>
    <row r="919" spans="1:2">
      <c r="A919" t="s">
        <v>21</v>
      </c>
      <c r="B919" s="6">
        <v>279</v>
      </c>
    </row>
    <row r="920" spans="1:2">
      <c r="A920" t="s">
        <v>137</v>
      </c>
      <c r="B920" s="6">
        <v>956</v>
      </c>
    </row>
    <row r="921" spans="1:2">
      <c r="A921" t="s">
        <v>137</v>
      </c>
      <c r="B921" s="6">
        <v>956</v>
      </c>
    </row>
    <row r="922" spans="1:2">
      <c r="A922" t="s">
        <v>137</v>
      </c>
      <c r="B922" s="6">
        <v>717</v>
      </c>
    </row>
    <row r="923" spans="1:2">
      <c r="A923" t="s">
        <v>137</v>
      </c>
      <c r="B923" s="6">
        <v>717</v>
      </c>
    </row>
    <row r="924" spans="1:2">
      <c r="A924" t="s">
        <v>137</v>
      </c>
      <c r="B924" s="6">
        <v>478</v>
      </c>
    </row>
    <row r="925" spans="1:2">
      <c r="A925" t="s">
        <v>137</v>
      </c>
      <c r="B925" s="6">
        <v>239</v>
      </c>
    </row>
    <row r="926" spans="1:2">
      <c r="A926" t="s">
        <v>137</v>
      </c>
      <c r="B926" s="6">
        <v>239</v>
      </c>
    </row>
    <row r="927" spans="1:2">
      <c r="A927" t="s">
        <v>137</v>
      </c>
      <c r="B927" s="6">
        <v>239</v>
      </c>
    </row>
    <row r="928" spans="1:2">
      <c r="A928" t="s">
        <v>137</v>
      </c>
      <c r="B928" s="6">
        <v>239</v>
      </c>
    </row>
    <row r="929" spans="1:2">
      <c r="A929" t="s">
        <v>137</v>
      </c>
      <c r="B929" s="6">
        <v>239</v>
      </c>
    </row>
    <row r="930" spans="1:2">
      <c r="A930" t="s">
        <v>137</v>
      </c>
      <c r="B930" s="6">
        <v>239</v>
      </c>
    </row>
    <row r="931" spans="1:2">
      <c r="A931" t="s">
        <v>137</v>
      </c>
      <c r="B931" s="6">
        <v>239</v>
      </c>
    </row>
    <row r="932" spans="1:2">
      <c r="A932" t="s">
        <v>137</v>
      </c>
      <c r="B932" s="6">
        <v>239</v>
      </c>
    </row>
    <row r="933" spans="1:2">
      <c r="A933" t="s">
        <v>137</v>
      </c>
      <c r="B933" s="6">
        <v>239</v>
      </c>
    </row>
    <row r="934" spans="1:2">
      <c r="A934" t="s">
        <v>50</v>
      </c>
      <c r="B934" s="6">
        <v>872</v>
      </c>
    </row>
    <row r="935" spans="1:2">
      <c r="A935" t="s">
        <v>50</v>
      </c>
      <c r="B935" s="6">
        <v>872</v>
      </c>
    </row>
    <row r="936" spans="1:2">
      <c r="A936" t="s">
        <v>50</v>
      </c>
      <c r="B936" s="6">
        <v>872</v>
      </c>
    </row>
    <row r="937" spans="1:2">
      <c r="A937" t="s">
        <v>50</v>
      </c>
      <c r="B937" s="6">
        <v>654</v>
      </c>
    </row>
    <row r="938" spans="1:2">
      <c r="A938" t="s">
        <v>50</v>
      </c>
      <c r="B938" s="6">
        <v>654</v>
      </c>
    </row>
    <row r="939" spans="1:2">
      <c r="A939" t="s">
        <v>50</v>
      </c>
      <c r="B939" s="6">
        <v>654</v>
      </c>
    </row>
    <row r="940" spans="1:2">
      <c r="A940" t="s">
        <v>50</v>
      </c>
      <c r="B940" s="6">
        <v>654</v>
      </c>
    </row>
    <row r="941" spans="1:2">
      <c r="A941" t="s">
        <v>50</v>
      </c>
      <c r="B941" s="6">
        <v>436</v>
      </c>
    </row>
    <row r="942" spans="1:2">
      <c r="A942" t="s">
        <v>50</v>
      </c>
      <c r="B942" s="6">
        <v>436</v>
      </c>
    </row>
    <row r="943" spans="1:2">
      <c r="A943" t="s">
        <v>50</v>
      </c>
      <c r="B943" s="6">
        <v>218</v>
      </c>
    </row>
    <row r="944" spans="1:2">
      <c r="A944" t="s">
        <v>108</v>
      </c>
      <c r="B944" s="6">
        <v>948</v>
      </c>
    </row>
    <row r="945" spans="1:2">
      <c r="A945" t="s">
        <v>108</v>
      </c>
      <c r="B945" s="6">
        <v>711</v>
      </c>
    </row>
    <row r="946" spans="1:2">
      <c r="A946" t="s">
        <v>108</v>
      </c>
      <c r="B946" s="6">
        <v>711</v>
      </c>
    </row>
    <row r="947" spans="1:2">
      <c r="A947" t="s">
        <v>108</v>
      </c>
      <c r="B947" s="6">
        <v>237</v>
      </c>
    </row>
    <row r="948" spans="1:2">
      <c r="A948" t="s">
        <v>108</v>
      </c>
      <c r="B948" s="6">
        <v>237</v>
      </c>
    </row>
    <row r="949" spans="1:2">
      <c r="A949" t="s">
        <v>108</v>
      </c>
      <c r="B949" s="6">
        <v>237</v>
      </c>
    </row>
    <row r="950" spans="1:2">
      <c r="A950" t="s">
        <v>59</v>
      </c>
      <c r="B950" s="6">
        <v>464</v>
      </c>
    </row>
    <row r="951" spans="1:2">
      <c r="A951" t="s">
        <v>59</v>
      </c>
      <c r="B951" s="6">
        <v>464</v>
      </c>
    </row>
    <row r="952" spans="1:2">
      <c r="A952" t="s">
        <v>59</v>
      </c>
      <c r="B952" s="6">
        <v>348</v>
      </c>
    </row>
    <row r="953" spans="1:2">
      <c r="A953" t="s">
        <v>59</v>
      </c>
      <c r="B953" s="6">
        <v>348</v>
      </c>
    </row>
    <row r="954" spans="1:2">
      <c r="A954" t="s">
        <v>59</v>
      </c>
      <c r="B954" s="6">
        <v>348</v>
      </c>
    </row>
    <row r="955" spans="1:2">
      <c r="A955" t="s">
        <v>59</v>
      </c>
      <c r="B955" s="6">
        <v>232</v>
      </c>
    </row>
    <row r="956" spans="1:2">
      <c r="A956" t="s">
        <v>59</v>
      </c>
      <c r="B956" s="6">
        <v>232</v>
      </c>
    </row>
    <row r="957" spans="1:2">
      <c r="A957" t="s">
        <v>59</v>
      </c>
      <c r="B957" s="6">
        <v>232</v>
      </c>
    </row>
    <row r="958" spans="1:2">
      <c r="A958" t="s">
        <v>59</v>
      </c>
      <c r="B958" s="6">
        <v>116</v>
      </c>
    </row>
    <row r="959" spans="1:2">
      <c r="A959" t="s">
        <v>59</v>
      </c>
      <c r="B959" s="6">
        <v>116</v>
      </c>
    </row>
    <row r="960" spans="1:2">
      <c r="A960" t="s">
        <v>59</v>
      </c>
      <c r="B960" s="6">
        <v>116</v>
      </c>
    </row>
    <row r="961" spans="1:2">
      <c r="A961" t="s">
        <v>59</v>
      </c>
      <c r="B961" s="6">
        <v>116</v>
      </c>
    </row>
    <row r="962" spans="1:2">
      <c r="A962" t="s">
        <v>59</v>
      </c>
      <c r="B962" s="6">
        <v>116</v>
      </c>
    </row>
    <row r="963" spans="1:2">
      <c r="A963" t="s">
        <v>65</v>
      </c>
      <c r="B963" s="6">
        <v>852</v>
      </c>
    </row>
    <row r="964" spans="1:2">
      <c r="A964" t="s">
        <v>65</v>
      </c>
      <c r="B964" s="6">
        <v>852</v>
      </c>
    </row>
    <row r="965" spans="1:2">
      <c r="A965" t="s">
        <v>65</v>
      </c>
      <c r="B965" s="6">
        <v>639</v>
      </c>
    </row>
    <row r="966" spans="1:2">
      <c r="A966" t="s">
        <v>65</v>
      </c>
      <c r="B966" s="6">
        <v>639</v>
      </c>
    </row>
    <row r="967" spans="1:2">
      <c r="A967" t="s">
        <v>65</v>
      </c>
      <c r="B967" s="6">
        <v>639</v>
      </c>
    </row>
    <row r="968" spans="1:2">
      <c r="A968" t="s">
        <v>65</v>
      </c>
      <c r="B968" s="6">
        <v>639</v>
      </c>
    </row>
    <row r="969" spans="1:2">
      <c r="A969" t="s">
        <v>65</v>
      </c>
      <c r="B969" s="6">
        <v>426</v>
      </c>
    </row>
    <row r="970" spans="1:2">
      <c r="A970" t="s">
        <v>65</v>
      </c>
      <c r="B970" s="6">
        <v>213</v>
      </c>
    </row>
    <row r="971" spans="1:2">
      <c r="A971" t="s">
        <v>65</v>
      </c>
      <c r="B971" s="6">
        <v>213</v>
      </c>
    </row>
    <row r="972" spans="1:2">
      <c r="A972" t="s">
        <v>57</v>
      </c>
      <c r="B972" s="6">
        <v>1080</v>
      </c>
    </row>
    <row r="973" spans="1:2">
      <c r="A973" t="s">
        <v>57</v>
      </c>
      <c r="B973" s="6">
        <v>1080</v>
      </c>
    </row>
    <row r="974" spans="1:2">
      <c r="A974" t="s">
        <v>57</v>
      </c>
      <c r="B974" s="6">
        <v>1080</v>
      </c>
    </row>
    <row r="975" spans="1:2">
      <c r="A975" t="s">
        <v>57</v>
      </c>
      <c r="B975" s="6">
        <v>1080</v>
      </c>
    </row>
    <row r="976" spans="1:2">
      <c r="A976" t="s">
        <v>57</v>
      </c>
      <c r="B976" s="6">
        <v>1080</v>
      </c>
    </row>
    <row r="977" spans="1:2">
      <c r="A977" t="s">
        <v>57</v>
      </c>
      <c r="B977" s="6">
        <v>1080</v>
      </c>
    </row>
    <row r="978" spans="1:2">
      <c r="A978" t="s">
        <v>57</v>
      </c>
      <c r="B978" s="6">
        <v>810</v>
      </c>
    </row>
    <row r="979" spans="1:2">
      <c r="A979" t="s">
        <v>57</v>
      </c>
      <c r="B979" s="6">
        <v>810</v>
      </c>
    </row>
    <row r="980" spans="1:2">
      <c r="A980" t="s">
        <v>57</v>
      </c>
      <c r="B980" s="6">
        <v>810</v>
      </c>
    </row>
    <row r="981" spans="1:2">
      <c r="A981" t="s">
        <v>57</v>
      </c>
      <c r="B981" s="6">
        <v>810</v>
      </c>
    </row>
    <row r="982" spans="1:2">
      <c r="A982" t="s">
        <v>57</v>
      </c>
      <c r="B982" s="6">
        <v>540</v>
      </c>
    </row>
    <row r="983" spans="1:2">
      <c r="A983" t="s">
        <v>57</v>
      </c>
      <c r="B983" s="6">
        <v>270</v>
      </c>
    </row>
    <row r="984" spans="1:2">
      <c r="A984" t="s">
        <v>57</v>
      </c>
      <c r="B984" s="6">
        <v>270</v>
      </c>
    </row>
    <row r="985" spans="1:2">
      <c r="A985" t="s">
        <v>183</v>
      </c>
      <c r="B985" s="6">
        <v>220</v>
      </c>
    </row>
    <row r="986" spans="1:2">
      <c r="A986" t="s">
        <v>183</v>
      </c>
      <c r="B986" s="6">
        <v>165</v>
      </c>
    </row>
    <row r="987" spans="1:2">
      <c r="A987" t="s">
        <v>183</v>
      </c>
      <c r="B987" s="6">
        <v>110</v>
      </c>
    </row>
    <row r="988" spans="1:2">
      <c r="A988" t="s">
        <v>183</v>
      </c>
      <c r="B988" s="6">
        <v>110</v>
      </c>
    </row>
    <row r="989" spans="1:2">
      <c r="A989" t="s">
        <v>183</v>
      </c>
      <c r="B989" s="6">
        <v>55</v>
      </c>
    </row>
    <row r="990" spans="1:2">
      <c r="A990" t="s">
        <v>144</v>
      </c>
      <c r="B990" s="6">
        <v>988</v>
      </c>
    </row>
    <row r="991" spans="1:2">
      <c r="A991" t="s">
        <v>144</v>
      </c>
      <c r="B991" s="6">
        <v>988</v>
      </c>
    </row>
    <row r="992" spans="1:2">
      <c r="A992" t="s">
        <v>144</v>
      </c>
      <c r="B992" s="6">
        <v>741</v>
      </c>
    </row>
    <row r="993" spans="1:2">
      <c r="A993" t="s">
        <v>144</v>
      </c>
      <c r="B993" s="6">
        <v>741</v>
      </c>
    </row>
    <row r="994" spans="1:2">
      <c r="A994" t="s">
        <v>144</v>
      </c>
      <c r="B994" s="6">
        <v>741</v>
      </c>
    </row>
    <row r="995" spans="1:2">
      <c r="A995" t="s">
        <v>144</v>
      </c>
      <c r="B995" s="6">
        <v>494</v>
      </c>
    </row>
    <row r="996" spans="1:2">
      <c r="A996" t="s">
        <v>144</v>
      </c>
      <c r="B996" s="6">
        <v>494</v>
      </c>
    </row>
    <row r="997" spans="1:2">
      <c r="A997" t="s">
        <v>144</v>
      </c>
      <c r="B997" s="6">
        <v>494</v>
      </c>
    </row>
    <row r="998" spans="1:2">
      <c r="A998" t="s">
        <v>144</v>
      </c>
      <c r="B998" s="6">
        <v>247</v>
      </c>
    </row>
    <row r="999" spans="1:2">
      <c r="A999" t="s">
        <v>144</v>
      </c>
      <c r="B999" s="6">
        <v>247</v>
      </c>
    </row>
    <row r="1000" spans="1:2">
      <c r="A1000" t="s">
        <v>144</v>
      </c>
      <c r="B1000" s="6">
        <v>247</v>
      </c>
    </row>
    <row r="1001" spans="1:2">
      <c r="A1001" t="s">
        <v>144</v>
      </c>
      <c r="B1001" s="6">
        <v>247</v>
      </c>
    </row>
  </sheetData>
  <sortState xmlns:xlrd2="http://schemas.microsoft.com/office/spreadsheetml/2017/richdata2" ref="A2:B1001">
    <sortCondition ref="A1:A100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E524C3-B776-7B46-BD66-6C9EDD1E5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Pivot_Table_Analyze</vt:lpstr>
      <vt:lpstr>Orders</vt:lpstr>
      <vt:lpstr>Products</vt:lpstr>
      <vt:lpstr>Customers</vt:lpstr>
      <vt:lpstr>check</vt:lpstr>
      <vt:lpstr>check2</vt:lpstr>
      <vt:lpstr>Product_Total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shailendra kushwaha</cp:lastModifiedBy>
  <dcterms:created xsi:type="dcterms:W3CDTF">2025-12-10T04:01:39Z</dcterms:created>
  <dcterms:modified xsi:type="dcterms:W3CDTF">2026-05-16T05:54:12Z</dcterms:modified>
</cp:coreProperties>
</file>